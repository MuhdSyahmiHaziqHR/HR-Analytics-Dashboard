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E189F64-7F8C-473F-B0E2-CB5FECFF05E5}" xr6:coauthVersionLast="47" xr6:coauthVersionMax="47" xr10:uidLastSave="{00000000-0000-0000-0000-000000000000}"/>
  <bookViews>
    <workbookView xWindow="-108" yWindow="-108" windowWidth="23256" windowHeight="12456" firstSheet="4" activeTab="6" xr2:uid="{C825610B-7ACC-4535-9629-5051A8AB04FD}"/>
  </bookViews>
  <sheets>
    <sheet name="Employee_Data" sheetId="1" r:id="rId1"/>
    <sheet name="KPI_Calculations" sheetId="2" r:id="rId2"/>
    <sheet name="Employee_Count" sheetId="5" r:id="rId3"/>
    <sheet name="Gender_Distribution" sheetId="6" r:id="rId4"/>
    <sheet name="Employee_Status" sheetId="7" r:id="rId5"/>
    <sheet name="Salary_Average" sheetId="8" r:id="rId6"/>
    <sheet name="Age_Distribution" sheetId="9" r:id="rId7"/>
  </sheets>
  <calcPr calcId="191029"/>
  <pivotCaches>
    <pivotCache cacheId="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C6" i="2"/>
  <c r="C5" i="2"/>
  <c r="C4" i="2"/>
  <c r="C3" i="2"/>
  <c r="C2" i="2"/>
  <c r="K2" i="1"/>
  <c r="J2" i="1"/>
</calcChain>
</file>

<file path=xl/sharedStrings.xml><?xml version="1.0" encoding="utf-8"?>
<sst xmlns="http://schemas.openxmlformats.org/spreadsheetml/2006/main" count="556" uniqueCount="144">
  <si>
    <t>Employee ID</t>
  </si>
  <si>
    <t>Gender</t>
  </si>
  <si>
    <t>Age</t>
  </si>
  <si>
    <t>Department</t>
  </si>
  <si>
    <t>Position</t>
  </si>
  <si>
    <t>Salary</t>
  </si>
  <si>
    <t>Hire Date</t>
  </si>
  <si>
    <t>Status</t>
  </si>
  <si>
    <t>E001</t>
  </si>
  <si>
    <t>Male</t>
  </si>
  <si>
    <t>HR</t>
  </si>
  <si>
    <t>Executive</t>
  </si>
  <si>
    <t>Active</t>
  </si>
  <si>
    <t>E002</t>
  </si>
  <si>
    <t>Female</t>
  </si>
  <si>
    <t>Finance</t>
  </si>
  <si>
    <t>Officer</t>
  </si>
  <si>
    <t>E003</t>
  </si>
  <si>
    <t>Operations</t>
  </si>
  <si>
    <t>Manager</t>
  </si>
  <si>
    <t>Resigned</t>
  </si>
  <si>
    <t>E004</t>
  </si>
  <si>
    <t>IT</t>
  </si>
  <si>
    <t>Assistant</t>
  </si>
  <si>
    <t>E005</t>
  </si>
  <si>
    <t>Sales</t>
  </si>
  <si>
    <t>Senior Executive</t>
  </si>
  <si>
    <t>E006</t>
  </si>
  <si>
    <t>Marketing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</si>
  <si>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</si>
  <si>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</si>
  <si>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</si>
  <si>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</si>
  <si>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</si>
  <si>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</si>
  <si>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</si>
  <si>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</si>
  <si>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</si>
  <si>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</si>
  <si>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</si>
  <si>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</si>
  <si>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</si>
  <si>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</si>
  <si>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</si>
  <si>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</si>
  <si>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</si>
  <si>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</si>
  <si>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</si>
  <si>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</si>
  <si>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</si>
  <si>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</si>
  <si>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</si>
  <si>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</si>
  <si>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</si>
  <si>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</si>
  <si>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</si>
  <si>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</si>
  <si>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</si>
  <si>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</si>
  <si>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</si>
  <si>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</si>
  <si>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</si>
  <si>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</si>
  <si>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</si>
  <si>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</si>
  <si>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</si>
  <si>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</si>
  <si>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</si>
  <si>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</si>
  <si>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</si>
  <si>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</si>
  <si>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</si>
  <si>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</si>
  <si>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</si>
  <si>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</si>
  <si>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</si>
  <si>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</si>
  <si>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</si>
  <si>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</si>
  <si>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</si>
  <si>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</si>
  <si>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</si>
  <si>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</si>
  <si>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</si>
  <si>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</si>
  <si>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</si>
  <si>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</si>
  <si>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</si>
  <si>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</si>
  <si>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</si>
  <si>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</si>
  <si>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</si>
  <si>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</si>
  <si>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</si>
  <si>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</si>
  <si>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</si>
  <si>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</si>
  <si>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</si>
  <si>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</si>
  <si>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</si>
  <si>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</si>
  <si>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</si>
  <si>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</si>
  <si>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</si>
  <si>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</si>
  <si>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</si>
  <si>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</si>
  <si>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</si>
  <si>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</si>
  <si>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</si>
  <si>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</si>
  <si>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</si>
  <si>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</si>
  <si>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</si>
  <si>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</si>
  <si>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</si>
  <si>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</si>
  <si>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</si>
  <si>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</si>
  <si>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</si>
  <si>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</si>
  <si>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</si>
  <si>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</si>
  <si>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Resignation Date</t>
  </si>
  <si>
    <t>Tenure</t>
  </si>
  <si>
    <t>Age Group</t>
  </si>
  <si>
    <t>KPI</t>
  </si>
  <si>
    <t>Value</t>
  </si>
  <si>
    <t>Total Employees</t>
  </si>
  <si>
    <t>Active Employees</t>
  </si>
  <si>
    <t>Resigned Employees</t>
  </si>
  <si>
    <t>Average Salary</t>
  </si>
  <si>
    <t>Turnover Rate</t>
  </si>
  <si>
    <t>31/07/2021</t>
  </si>
  <si>
    <t>17/08/2021</t>
  </si>
  <si>
    <t>13/08/2022</t>
  </si>
  <si>
    <t>17/10/2023</t>
  </si>
  <si>
    <t>21/09/2022</t>
  </si>
  <si>
    <t>27/12/2019</t>
  </si>
  <si>
    <t>23/02/2026</t>
  </si>
  <si>
    <t>Row Labels</t>
  </si>
  <si>
    <t>Grand Total</t>
  </si>
  <si>
    <t>Count of Employee ID</t>
  </si>
  <si>
    <t>Average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</si>
</sst>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MYR]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9" fontId="0" fillId="3" borderId="2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96.80521539352" createdVersion="7" refreshedVersion="7" minRefreshableVersion="3" recordCount="100" xr:uid="{40F63151-C984-42D4-BC7A-1BFE85BB6B94}">
  <cacheSource type="worksheet">
    <worksheetSource ref="A1:K101" sheet="Employee_Data"/>
  </cacheSource>
  <cacheFields count="11">
    <cacheField name="Employee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3" maxValue="45" count="23">
        <n v="25"/>
        <n v="29"/>
        <n v="34"/>
        <n v="23"/>
        <n v="31"/>
        <n v="27"/>
        <n v="40"/>
        <n v="26"/>
        <n v="35"/>
        <n v="33"/>
        <n v="28"/>
        <n v="30"/>
        <n v="24"/>
        <n v="45"/>
        <n v="32"/>
        <n v="38"/>
        <n v="36"/>
        <n v="42"/>
        <n v="41"/>
        <n v="44"/>
        <n v="37"/>
        <n v="43"/>
        <n v="39"/>
      </sharedItems>
    </cacheField>
    <cacheField name="Department" numFmtId="0">
      <sharedItems count="6">
        <s v="HR"/>
        <s v="Finance"/>
        <s v="Operations"/>
        <s v="IT"/>
        <s v="Sales"/>
        <s v="Marketing"/>
      </sharedItems>
    </cacheField>
    <cacheField name="Position" numFmtId="0">
      <sharedItems/>
    </cacheField>
    <cacheField name="Salary" numFmtId="0">
      <sharedItems containsSemiMixedTypes="0" containsString="0" containsNumber="1" containsInteger="1" minValue="2700" maxValue="8300"/>
    </cacheField>
    <cacheField name="Hire Date" numFmtId="14">
      <sharedItems containsSemiMixedTypes="0" containsNonDate="0" containsDate="1" containsString="0" minDate="2015-02-11T00:00:00" maxDate="2024-12-02T00:00:00"/>
    </cacheField>
    <cacheField name="Status" numFmtId="0">
      <sharedItems count="2">
        <s v="Active"/>
        <s v="Resigned"/>
      </sharedItems>
    </cacheField>
    <cacheField name="Resignation Date" numFmtId="0">
      <sharedItems containsDate="1" containsBlank="1" containsMixedTypes="1" minDate="2021-09-10T00:00:00" maxDate="2026-03-03T00:00:00"/>
    </cacheField>
    <cacheField name="Tenure" numFmtId="0">
      <sharedItems containsSemiMixedTypes="0" containsString="0" containsNumber="1" containsInteger="1" minValue="1" maxValue="11"/>
    </cacheField>
    <cacheField name="Age 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E001"/>
    <x v="0"/>
    <x v="0"/>
    <x v="0"/>
    <s v="Executive"/>
    <n v="3200"/>
    <d v="2023-01-10T00:00:00"/>
    <x v="0"/>
    <m/>
    <n v="3"/>
    <s v="20-29"/>
  </r>
  <r>
    <s v="E002"/>
    <x v="1"/>
    <x v="1"/>
    <x v="1"/>
    <s v="Officer"/>
    <n v="3500"/>
    <d v="2022-06-15T00:00:00"/>
    <x v="0"/>
    <m/>
    <n v="4"/>
    <s v="20-29"/>
  </r>
  <r>
    <s v="E003"/>
    <x v="0"/>
    <x v="2"/>
    <x v="2"/>
    <s v="Manager"/>
    <n v="6000"/>
    <d v="2020-08-20T00:00:00"/>
    <x v="1"/>
    <s v="31/07/2021"/>
    <n v="5"/>
    <s v="30-39"/>
  </r>
  <r>
    <s v="E004"/>
    <x v="1"/>
    <x v="3"/>
    <x v="3"/>
    <s v="Assistant"/>
    <n v="2800"/>
    <d v="2024-11-12T00:00:00"/>
    <x v="0"/>
    <m/>
    <n v="1"/>
    <s v="20-29"/>
  </r>
  <r>
    <s v="E005"/>
    <x v="0"/>
    <x v="4"/>
    <x v="4"/>
    <s v="Senior Executive"/>
    <n v="4800"/>
    <d v="2021-03-05T00:00:00"/>
    <x v="0"/>
    <m/>
    <n v="5"/>
    <s v="30-39"/>
  </r>
  <r>
    <s v="E006"/>
    <x v="1"/>
    <x v="5"/>
    <x v="5"/>
    <s v="Executive"/>
    <n v="3300"/>
    <d v="2023-07-19T00:00:00"/>
    <x v="0"/>
    <m/>
    <n v="2"/>
    <s v="20-29"/>
  </r>
  <r>
    <s v="E007"/>
    <x v="0"/>
    <x v="6"/>
    <x v="3"/>
    <s v="Manager"/>
    <n v="7500"/>
    <d v="2018-02-14T00:00:00"/>
    <x v="0"/>
    <m/>
    <n v="8"/>
    <s v="40+"/>
  </r>
  <r>
    <s v="E008"/>
    <x v="1"/>
    <x v="7"/>
    <x v="1"/>
    <s v="Assistant"/>
    <n v="2900"/>
    <d v="2024-09-22T00:00:00"/>
    <x v="0"/>
    <m/>
    <n v="1"/>
    <s v="20-29"/>
  </r>
  <r>
    <s v="E009"/>
    <x v="0"/>
    <x v="8"/>
    <x v="2"/>
    <s v="Officer"/>
    <n v="3800"/>
    <d v="2020-04-30T00:00:00"/>
    <x v="1"/>
    <s v="17/08/2021"/>
    <n v="6"/>
    <s v="30-39"/>
  </r>
  <r>
    <s v="E010"/>
    <x v="1"/>
    <x v="9"/>
    <x v="4"/>
    <s v="Manager"/>
    <n v="6800"/>
    <d v="2019-01-11T00:00:00"/>
    <x v="0"/>
    <m/>
    <n v="7"/>
    <s v="30-39"/>
  </r>
  <r>
    <s v="E011"/>
    <x v="0"/>
    <x v="10"/>
    <x v="0"/>
    <s v="Officer"/>
    <n v="3600"/>
    <d v="2022-05-17T00:00:00"/>
    <x v="0"/>
    <m/>
    <n v="4"/>
    <s v="20-29"/>
  </r>
  <r>
    <s v="E012"/>
    <x v="1"/>
    <x v="11"/>
    <x v="3"/>
    <s v="Senior Executive"/>
    <n v="5200"/>
    <d v="2021-08-08T00:00:00"/>
    <x v="0"/>
    <m/>
    <n v="4"/>
    <s v="30-39"/>
  </r>
  <r>
    <s v="E013"/>
    <x v="0"/>
    <x v="12"/>
    <x v="5"/>
    <s v="Assistant"/>
    <n v="2700"/>
    <d v="2024-10-03T00:00:00"/>
    <x v="0"/>
    <m/>
    <n v="1"/>
    <s v="20-29"/>
  </r>
  <r>
    <s v="E014"/>
    <x v="1"/>
    <x v="13"/>
    <x v="1"/>
    <s v="Manager"/>
    <n v="8000"/>
    <d v="2015-05-25T00:00:00"/>
    <x v="0"/>
    <m/>
    <n v="11"/>
    <s v="40+"/>
  </r>
  <r>
    <s v="E015"/>
    <x v="0"/>
    <x v="1"/>
    <x v="2"/>
    <s v="Executive"/>
    <n v="3400"/>
    <d v="2022-12-14T00:00:00"/>
    <x v="0"/>
    <m/>
    <n v="3"/>
    <s v="20-29"/>
  </r>
  <r>
    <s v="E016"/>
    <x v="1"/>
    <x v="14"/>
    <x v="4"/>
    <s v="Officer"/>
    <n v="4000"/>
    <d v="2021-06-21T00:00:00"/>
    <x v="1"/>
    <d v="2024-01-01T00:00:00"/>
    <n v="5"/>
    <s v="30-39"/>
  </r>
  <r>
    <s v="E017"/>
    <x v="0"/>
    <x v="7"/>
    <x v="3"/>
    <s v="Executive"/>
    <n v="3500"/>
    <d v="2024-01-09T00:00:00"/>
    <x v="0"/>
    <m/>
    <n v="2"/>
    <s v="20-29"/>
  </r>
  <r>
    <s v="E018"/>
    <x v="1"/>
    <x v="15"/>
    <x v="0"/>
    <s v="Manager"/>
    <n v="6200"/>
    <d v="2017-03-18T00:00:00"/>
    <x v="0"/>
    <m/>
    <n v="9"/>
    <s v="30-39"/>
  </r>
  <r>
    <s v="E019"/>
    <x v="0"/>
    <x v="11"/>
    <x v="5"/>
    <s v="Senior Executive"/>
    <n v="4600"/>
    <d v="2020-11-11T00:00:00"/>
    <x v="0"/>
    <m/>
    <n v="5"/>
    <s v="30-39"/>
  </r>
  <r>
    <s v="E020"/>
    <x v="1"/>
    <x v="0"/>
    <x v="2"/>
    <s v="Assistant"/>
    <n v="2850"/>
    <d v="2023-07-04T00:00:00"/>
    <x v="0"/>
    <m/>
    <n v="2"/>
    <s v="20-29"/>
  </r>
  <r>
    <s v="E021"/>
    <x v="0"/>
    <x v="16"/>
    <x v="1"/>
    <s v="Senior Executive"/>
    <n v="5000"/>
    <d v="2019-02-19T00:00:00"/>
    <x v="0"/>
    <m/>
    <n v="7"/>
    <s v="30-39"/>
  </r>
  <r>
    <s v="E022"/>
    <x v="1"/>
    <x v="10"/>
    <x v="4"/>
    <s v="Executive"/>
    <n v="3100"/>
    <d v="2023-09-15T00:00:00"/>
    <x v="0"/>
    <m/>
    <n v="2"/>
    <s v="20-29"/>
  </r>
  <r>
    <s v="E023"/>
    <x v="0"/>
    <x v="17"/>
    <x v="3"/>
    <s v="Manager"/>
    <n v="7800"/>
    <d v="2016-06-01T00:00:00"/>
    <x v="0"/>
    <m/>
    <n v="10"/>
    <s v="40+"/>
  </r>
  <r>
    <s v="E024"/>
    <x v="1"/>
    <x v="12"/>
    <x v="0"/>
    <s v="Assistant"/>
    <n v="2750"/>
    <d v="2024-05-10T00:00:00"/>
    <x v="0"/>
    <m/>
    <n v="2"/>
    <s v="20-29"/>
  </r>
  <r>
    <s v="E025"/>
    <x v="0"/>
    <x v="9"/>
    <x v="5"/>
    <s v="Officer"/>
    <n v="3900"/>
    <d v="2021-08-27T00:00:00"/>
    <x v="1"/>
    <s v="13/08/2022"/>
    <n v="4"/>
    <s v="30-39"/>
  </r>
  <r>
    <s v="E026"/>
    <x v="1"/>
    <x v="4"/>
    <x v="2"/>
    <s v="Senior Executive"/>
    <n v="4900"/>
    <d v="2021-04-13T00:00:00"/>
    <x v="0"/>
    <m/>
    <n v="5"/>
    <s v="30-39"/>
  </r>
  <r>
    <s v="E027"/>
    <x v="0"/>
    <x v="5"/>
    <x v="1"/>
    <s v="Executive"/>
    <n v="3300"/>
    <d v="2023-11-05T00:00:00"/>
    <x v="0"/>
    <m/>
    <n v="2"/>
    <s v="20-29"/>
  </r>
  <r>
    <s v="E028"/>
    <x v="1"/>
    <x v="1"/>
    <x v="3"/>
    <s v="Officer"/>
    <n v="4100"/>
    <d v="2022-01-22T00:00:00"/>
    <x v="0"/>
    <m/>
    <n v="4"/>
    <s v="20-29"/>
  </r>
  <r>
    <s v="E029"/>
    <x v="0"/>
    <x v="8"/>
    <x v="4"/>
    <s v="Senior Executive"/>
    <n v="5100"/>
    <d v="2020-07-14T00:00:00"/>
    <x v="0"/>
    <m/>
    <n v="5"/>
    <s v="30-39"/>
  </r>
  <r>
    <s v="E030"/>
    <x v="1"/>
    <x v="18"/>
    <x v="5"/>
    <s v="Manager"/>
    <n v="6700"/>
    <d v="2017-10-09T00:00:00"/>
    <x v="0"/>
    <m/>
    <n v="8"/>
    <s v="40+"/>
  </r>
  <r>
    <s v="E031"/>
    <x v="0"/>
    <x v="3"/>
    <x v="0"/>
    <s v="Assistant"/>
    <n v="2700"/>
    <d v="2024-12-01T00:00:00"/>
    <x v="0"/>
    <m/>
    <n v="1"/>
    <s v="20-29"/>
  </r>
  <r>
    <s v="E032"/>
    <x v="1"/>
    <x v="2"/>
    <x v="2"/>
    <s v="Manager"/>
    <n v="6100"/>
    <d v="2020-03-17T00:00:00"/>
    <x v="0"/>
    <m/>
    <n v="6"/>
    <s v="30-39"/>
  </r>
  <r>
    <s v="E033"/>
    <x v="0"/>
    <x v="11"/>
    <x v="1"/>
    <s v="Officer"/>
    <n v="3700"/>
    <d v="2021-06-29T00:00:00"/>
    <x v="1"/>
    <d v="2022-04-03T00:00:00"/>
    <n v="4"/>
    <s v="30-39"/>
  </r>
  <r>
    <s v="E034"/>
    <x v="1"/>
    <x v="7"/>
    <x v="4"/>
    <s v="Assistant"/>
    <n v="2800"/>
    <d v="2024-02-11T00:00:00"/>
    <x v="0"/>
    <m/>
    <n v="2"/>
    <s v="20-29"/>
  </r>
  <r>
    <s v="E035"/>
    <x v="0"/>
    <x v="14"/>
    <x v="3"/>
    <s v="Executive"/>
    <n v="3600"/>
    <d v="2022-08-19T00:00:00"/>
    <x v="0"/>
    <m/>
    <n v="3"/>
    <s v="30-39"/>
  </r>
  <r>
    <s v="E036"/>
    <x v="1"/>
    <x v="10"/>
    <x v="5"/>
    <s v="Executive"/>
    <n v="3250"/>
    <d v="2023-05-04T00:00:00"/>
    <x v="0"/>
    <m/>
    <n v="3"/>
    <s v="20-29"/>
  </r>
  <r>
    <s v="E037"/>
    <x v="0"/>
    <x v="19"/>
    <x v="2"/>
    <s v="Manager"/>
    <n v="6400"/>
    <d v="2015-11-23T00:00:00"/>
    <x v="0"/>
    <m/>
    <n v="10"/>
    <s v="40+"/>
  </r>
  <r>
    <s v="E038"/>
    <x v="1"/>
    <x v="20"/>
    <x v="0"/>
    <s v="Senior Executive"/>
    <n v="4800"/>
    <d v="2018-01-12T00:00:00"/>
    <x v="0"/>
    <m/>
    <n v="8"/>
    <s v="30-39"/>
  </r>
  <r>
    <s v="E039"/>
    <x v="0"/>
    <x v="0"/>
    <x v="1"/>
    <s v="Assistant"/>
    <n v="2950"/>
    <d v="2024-07-15T00:00:00"/>
    <x v="0"/>
    <m/>
    <n v="1"/>
    <s v="20-29"/>
  </r>
  <r>
    <s v="E040"/>
    <x v="1"/>
    <x v="11"/>
    <x v="3"/>
    <s v="Officer"/>
    <n v="4200"/>
    <d v="2022-04-08T00:00:00"/>
    <x v="0"/>
    <m/>
    <n v="4"/>
    <s v="30-39"/>
  </r>
  <r>
    <s v="E041"/>
    <x v="0"/>
    <x v="1"/>
    <x v="4"/>
    <s v="Executive"/>
    <n v="3150"/>
    <d v="2022-09-20T00:00:00"/>
    <x v="1"/>
    <d v="2023-10-04T00:00:00"/>
    <n v="3"/>
    <s v="20-29"/>
  </r>
  <r>
    <s v="E042"/>
    <x v="1"/>
    <x v="8"/>
    <x v="5"/>
    <s v="Senior Executive"/>
    <n v="4700"/>
    <d v="2020-02-14T00:00:00"/>
    <x v="0"/>
    <m/>
    <n v="6"/>
    <s v="30-39"/>
  </r>
  <r>
    <s v="E043"/>
    <x v="0"/>
    <x v="5"/>
    <x v="2"/>
    <s v="Executive"/>
    <n v="3350"/>
    <d v="2023-10-10T00:00:00"/>
    <x v="0"/>
    <m/>
    <n v="2"/>
    <s v="20-29"/>
  </r>
  <r>
    <s v="E044"/>
    <x v="1"/>
    <x v="21"/>
    <x v="1"/>
    <s v="Manager"/>
    <n v="8200"/>
    <d v="2016-05-03T00:00:00"/>
    <x v="0"/>
    <m/>
    <n v="10"/>
    <s v="40+"/>
  </r>
  <r>
    <s v="E045"/>
    <x v="0"/>
    <x v="12"/>
    <x v="3"/>
    <s v="Assistant"/>
    <n v="2850"/>
    <d v="2024-06-18T00:00:00"/>
    <x v="0"/>
    <m/>
    <n v="2"/>
    <s v="20-29"/>
  </r>
  <r>
    <s v="E046"/>
    <x v="1"/>
    <x v="4"/>
    <x v="0"/>
    <s v="Officer"/>
    <n v="3750"/>
    <d v="2021-11-22T00:00:00"/>
    <x v="0"/>
    <m/>
    <n v="4"/>
    <s v="30-39"/>
  </r>
  <r>
    <s v="E047"/>
    <x v="0"/>
    <x v="9"/>
    <x v="4"/>
    <s v="Manager"/>
    <n v="6900"/>
    <d v="2020-01-07T00:00:00"/>
    <x v="0"/>
    <m/>
    <n v="6"/>
    <s v="30-39"/>
  </r>
  <r>
    <s v="E048"/>
    <x v="1"/>
    <x v="7"/>
    <x v="5"/>
    <s v="Assistant"/>
    <n v="2750"/>
    <d v="2024-03-14T00:00:00"/>
    <x v="0"/>
    <m/>
    <n v="2"/>
    <s v="20-29"/>
  </r>
  <r>
    <s v="E049"/>
    <x v="0"/>
    <x v="15"/>
    <x v="2"/>
    <s v="Senior Executive"/>
    <n v="5100"/>
    <d v="2018-07-19T00:00:00"/>
    <x v="0"/>
    <m/>
    <n v="7"/>
    <s v="30-39"/>
  </r>
  <r>
    <s v="E050"/>
    <x v="1"/>
    <x v="1"/>
    <x v="1"/>
    <s v="Executive"/>
    <n v="3400"/>
    <d v="2022-12-11T00:00:00"/>
    <x v="1"/>
    <s v="17/10/2023"/>
    <n v="3"/>
    <s v="20-29"/>
  </r>
  <r>
    <s v="E051"/>
    <x v="0"/>
    <x v="14"/>
    <x v="3"/>
    <s v="Senior Executive"/>
    <n v="5400"/>
    <d v="2021-09-05T00:00:00"/>
    <x v="0"/>
    <m/>
    <n v="4"/>
    <s v="30-39"/>
  </r>
  <r>
    <s v="E052"/>
    <x v="1"/>
    <x v="0"/>
    <x v="0"/>
    <s v="Executive"/>
    <n v="3200"/>
    <d v="2023-02-28T00:00:00"/>
    <x v="0"/>
    <m/>
    <n v="3"/>
    <s v="20-29"/>
  </r>
  <r>
    <s v="E053"/>
    <x v="0"/>
    <x v="16"/>
    <x v="5"/>
    <s v="Manager"/>
    <n v="6600"/>
    <d v="2019-04-16T00:00:00"/>
    <x v="0"/>
    <m/>
    <n v="7"/>
    <s v="30-39"/>
  </r>
  <r>
    <s v="E054"/>
    <x v="1"/>
    <x v="10"/>
    <x v="4"/>
    <s v="Officer"/>
    <n v="3950"/>
    <d v="2022-08-12T00:00:00"/>
    <x v="0"/>
    <m/>
    <n v="3"/>
    <s v="20-29"/>
  </r>
  <r>
    <s v="E055"/>
    <x v="0"/>
    <x v="3"/>
    <x v="2"/>
    <s v="Assistant"/>
    <n v="2800"/>
    <d v="2024-11-01T00:00:00"/>
    <x v="0"/>
    <m/>
    <n v="1"/>
    <s v="20-29"/>
  </r>
  <r>
    <s v="E056"/>
    <x v="1"/>
    <x v="6"/>
    <x v="1"/>
    <s v="Manager"/>
    <n v="7900"/>
    <d v="2017-06-24T00:00:00"/>
    <x v="0"/>
    <m/>
    <n v="8"/>
    <s v="40+"/>
  </r>
  <r>
    <s v="E057"/>
    <x v="0"/>
    <x v="11"/>
    <x v="3"/>
    <s v="Officer"/>
    <n v="4300"/>
    <d v="2022-03-15T00:00:00"/>
    <x v="0"/>
    <m/>
    <n v="4"/>
    <s v="30-39"/>
  </r>
  <r>
    <s v="E058"/>
    <x v="1"/>
    <x v="2"/>
    <x v="0"/>
    <s v="Senior Executive"/>
    <n v="4950"/>
    <d v="2020-10-09T00:00:00"/>
    <x v="1"/>
    <d v="2021-09-10T00:00:00"/>
    <n v="5"/>
    <s v="30-39"/>
  </r>
  <r>
    <s v="E059"/>
    <x v="0"/>
    <x v="5"/>
    <x v="4"/>
    <s v="Executive"/>
    <n v="3200"/>
    <d v="2023-01-04T00:00:00"/>
    <x v="0"/>
    <m/>
    <n v="3"/>
    <s v="20-29"/>
  </r>
  <r>
    <s v="E060"/>
    <x v="1"/>
    <x v="7"/>
    <x v="5"/>
    <s v="Executive"/>
    <n v="3300"/>
    <d v="2023-05-18T00:00:00"/>
    <x v="0"/>
    <m/>
    <n v="3"/>
    <s v="20-29"/>
  </r>
  <r>
    <s v="E061"/>
    <x v="0"/>
    <x v="13"/>
    <x v="2"/>
    <s v="Manager"/>
    <n v="6500"/>
    <d v="2015-02-11T00:00:00"/>
    <x v="0"/>
    <m/>
    <n v="11"/>
    <s v="40+"/>
  </r>
  <r>
    <s v="E062"/>
    <x v="1"/>
    <x v="12"/>
    <x v="1"/>
    <s v="Assistant"/>
    <n v="2900"/>
    <d v="2024-08-30T00:00:00"/>
    <x v="0"/>
    <m/>
    <n v="1"/>
    <s v="20-29"/>
  </r>
  <r>
    <s v="E063"/>
    <x v="0"/>
    <x v="4"/>
    <x v="3"/>
    <s v="Executive"/>
    <n v="3550"/>
    <d v="2022-07-14T00:00:00"/>
    <x v="0"/>
    <m/>
    <n v="3"/>
    <s v="30-39"/>
  </r>
  <r>
    <s v="E064"/>
    <x v="1"/>
    <x v="20"/>
    <x v="4"/>
    <s v="Manager"/>
    <n v="7100"/>
    <d v="2018-03-21T00:00:00"/>
    <x v="0"/>
    <m/>
    <n v="8"/>
    <s v="30-39"/>
  </r>
  <r>
    <s v="E065"/>
    <x v="0"/>
    <x v="1"/>
    <x v="0"/>
    <s v="Officer"/>
    <n v="3650"/>
    <d v="2022-10-05T00:00:00"/>
    <x v="0"/>
    <m/>
    <n v="3"/>
    <s v="20-29"/>
  </r>
  <r>
    <s v="E066"/>
    <x v="1"/>
    <x v="9"/>
    <x v="5"/>
    <s v="Senior Executive"/>
    <n v="4750"/>
    <d v="2020-12-12T00:00:00"/>
    <x v="1"/>
    <s v="21/09/2022"/>
    <n v="5"/>
    <s v="30-39"/>
  </r>
  <r>
    <s v="E067"/>
    <x v="0"/>
    <x v="10"/>
    <x v="2"/>
    <s v="Officer"/>
    <n v="3850"/>
    <d v="2022-04-19T00:00:00"/>
    <x v="0"/>
    <m/>
    <n v="4"/>
    <s v="20-29"/>
  </r>
  <r>
    <s v="E068"/>
    <x v="1"/>
    <x v="17"/>
    <x v="3"/>
    <s v="Manager"/>
    <n v="8100"/>
    <d v="2016-07-03T00:00:00"/>
    <x v="0"/>
    <m/>
    <n v="9"/>
    <s v="40+"/>
  </r>
  <r>
    <s v="E069"/>
    <x v="0"/>
    <x v="0"/>
    <x v="4"/>
    <s v="Assistant"/>
    <n v="2850"/>
    <d v="2024-01-11T00:00:00"/>
    <x v="0"/>
    <m/>
    <n v="2"/>
    <s v="20-29"/>
  </r>
  <r>
    <s v="E070"/>
    <x v="1"/>
    <x v="11"/>
    <x v="1"/>
    <s v="Senior Executive"/>
    <n v="5150"/>
    <d v="2021-08-25T00:00:00"/>
    <x v="0"/>
    <m/>
    <n v="4"/>
    <s v="30-39"/>
  </r>
  <r>
    <s v="E071"/>
    <x v="0"/>
    <x v="8"/>
    <x v="0"/>
    <s v="Manager"/>
    <n v="6300"/>
    <d v="2020-05-14T00:00:00"/>
    <x v="0"/>
    <m/>
    <n v="6"/>
    <s v="30-39"/>
  </r>
  <r>
    <s v="E072"/>
    <x v="1"/>
    <x v="3"/>
    <x v="5"/>
    <s v="Assistant"/>
    <n v="2700"/>
    <d v="2024-11-09T00:00:00"/>
    <x v="0"/>
    <m/>
    <n v="1"/>
    <s v="20-29"/>
  </r>
  <r>
    <s v="E073"/>
    <x v="0"/>
    <x v="14"/>
    <x v="2"/>
    <s v="Executive"/>
    <n v="3450"/>
    <d v="2022-02-22T00:00:00"/>
    <x v="0"/>
    <m/>
    <n v="4"/>
    <s v="30-39"/>
  </r>
  <r>
    <s v="E074"/>
    <x v="1"/>
    <x v="5"/>
    <x v="3"/>
    <s v="Executive"/>
    <n v="3600"/>
    <d v="2023-06-17T00:00:00"/>
    <x v="1"/>
    <d v="2025-06-04T00:00:00"/>
    <n v="3"/>
    <s v="20-29"/>
  </r>
  <r>
    <s v="E075"/>
    <x v="0"/>
    <x v="22"/>
    <x v="4"/>
    <s v="Senior Executive"/>
    <n v="5300"/>
    <d v="2018-09-04T00:00:00"/>
    <x v="0"/>
    <m/>
    <n v="7"/>
    <s v="30-39"/>
  </r>
  <r>
    <s v="E076"/>
    <x v="1"/>
    <x v="7"/>
    <x v="0"/>
    <s v="Assistant"/>
    <n v="2780"/>
    <d v="2024-03-13T00:00:00"/>
    <x v="0"/>
    <m/>
    <n v="2"/>
    <s v="20-29"/>
  </r>
  <r>
    <s v="E077"/>
    <x v="0"/>
    <x v="2"/>
    <x v="1"/>
    <s v="Officer"/>
    <n v="3800"/>
    <d v="2020-11-08T00:00:00"/>
    <x v="0"/>
    <m/>
    <n v="5"/>
    <s v="30-39"/>
  </r>
  <r>
    <s v="E078"/>
    <x v="1"/>
    <x v="1"/>
    <x v="5"/>
    <s v="Officer"/>
    <n v="4000"/>
    <d v="2022-01-16T00:00:00"/>
    <x v="0"/>
    <m/>
    <n v="4"/>
    <s v="20-29"/>
  </r>
  <r>
    <s v="E079"/>
    <x v="0"/>
    <x v="18"/>
    <x v="2"/>
    <s v="Manager"/>
    <n v="6250"/>
    <d v="2017-05-27T00:00:00"/>
    <x v="0"/>
    <m/>
    <n v="9"/>
    <s v="40+"/>
  </r>
  <r>
    <s v="E080"/>
    <x v="1"/>
    <x v="4"/>
    <x v="3"/>
    <s v="Senior Executive"/>
    <n v="5500"/>
    <d v="2021-10-10T00:00:00"/>
    <x v="0"/>
    <m/>
    <n v="4"/>
    <s v="30-39"/>
  </r>
  <r>
    <s v="E081"/>
    <x v="0"/>
    <x v="12"/>
    <x v="4"/>
    <s v="Assistant"/>
    <n v="2800"/>
    <d v="2024-07-05T00:00:00"/>
    <x v="0"/>
    <m/>
    <n v="1"/>
    <s v="20-29"/>
  </r>
  <r>
    <s v="E082"/>
    <x v="1"/>
    <x v="16"/>
    <x v="1"/>
    <s v="Senior Executive"/>
    <n v="5200"/>
    <d v="2019-01-19T00:00:00"/>
    <x v="1"/>
    <s v="27/12/2019"/>
    <n v="7"/>
    <s v="30-39"/>
  </r>
  <r>
    <s v="E083"/>
    <x v="0"/>
    <x v="10"/>
    <x v="0"/>
    <s v="Executive"/>
    <n v="3250"/>
    <d v="2023-04-14T00:00:00"/>
    <x v="0"/>
    <m/>
    <n v="3"/>
    <s v="20-29"/>
  </r>
  <r>
    <s v="E084"/>
    <x v="1"/>
    <x v="11"/>
    <x v="5"/>
    <s v="Executive"/>
    <n v="3350"/>
    <d v="2022-09-23T00:00:00"/>
    <x v="0"/>
    <m/>
    <n v="3"/>
    <s v="30-39"/>
  </r>
  <r>
    <s v="E085"/>
    <x v="0"/>
    <x v="21"/>
    <x v="3"/>
    <s v="Manager"/>
    <n v="8300"/>
    <d v="2016-03-11T00:00:00"/>
    <x v="0"/>
    <m/>
    <n v="10"/>
    <s v="40+"/>
  </r>
  <r>
    <s v="E086"/>
    <x v="1"/>
    <x v="0"/>
    <x v="2"/>
    <s v="Executive"/>
    <n v="3300"/>
    <d v="2023-08-02T00:00:00"/>
    <x v="0"/>
    <m/>
    <n v="2"/>
    <s v="20-29"/>
  </r>
  <r>
    <s v="E087"/>
    <x v="0"/>
    <x v="9"/>
    <x v="4"/>
    <s v="Officer"/>
    <n v="4100"/>
    <d v="2021-05-15T00:00:00"/>
    <x v="0"/>
    <m/>
    <n v="5"/>
    <s v="30-39"/>
  </r>
  <r>
    <s v="E088"/>
    <x v="1"/>
    <x v="15"/>
    <x v="0"/>
    <s v="Manager"/>
    <n v="6400"/>
    <d v="2017-10-30T00:00:00"/>
    <x v="0"/>
    <m/>
    <n v="8"/>
    <s v="30-39"/>
  </r>
  <r>
    <s v="E089"/>
    <x v="0"/>
    <x v="5"/>
    <x v="1"/>
    <s v="Executive"/>
    <n v="3450"/>
    <d v="2023-02-12T00:00:00"/>
    <x v="0"/>
    <m/>
    <n v="3"/>
    <s v="20-29"/>
  </r>
  <r>
    <s v="E090"/>
    <x v="1"/>
    <x v="7"/>
    <x v="3"/>
    <s v="Assistant"/>
    <n v="2900"/>
    <d v="2024-05-21T00:00:00"/>
    <x v="1"/>
    <d v="2026-03-02T00:00:00"/>
    <n v="2"/>
    <s v="20-29"/>
  </r>
  <r>
    <s v="E091"/>
    <x v="0"/>
    <x v="8"/>
    <x v="5"/>
    <s v="Manager"/>
    <n v="6800"/>
    <d v="2020-07-04T00:00:00"/>
    <x v="0"/>
    <m/>
    <n v="5"/>
    <s v="30-39"/>
  </r>
  <r>
    <s v="E092"/>
    <x v="1"/>
    <x v="14"/>
    <x v="2"/>
    <s v="Senior Executive"/>
    <n v="5000"/>
    <d v="2021-11-18T00:00:00"/>
    <x v="0"/>
    <m/>
    <n v="4"/>
    <s v="30-39"/>
  </r>
  <r>
    <s v="E093"/>
    <x v="0"/>
    <x v="1"/>
    <x v="4"/>
    <s v="Executive"/>
    <n v="3220"/>
    <d v="2023-01-09T00:00:00"/>
    <x v="0"/>
    <m/>
    <n v="3"/>
    <s v="20-29"/>
  </r>
  <r>
    <s v="E094"/>
    <x v="1"/>
    <x v="12"/>
    <x v="0"/>
    <s v="Assistant"/>
    <n v="2760"/>
    <d v="2024-08-14T00:00:00"/>
    <x v="0"/>
    <m/>
    <n v="1"/>
    <s v="20-29"/>
  </r>
  <r>
    <s v="E095"/>
    <x v="0"/>
    <x v="11"/>
    <x v="1"/>
    <s v="Officer"/>
    <n v="3850"/>
    <d v="2022-03-27T00:00:00"/>
    <x v="0"/>
    <m/>
    <n v="4"/>
    <s v="30-39"/>
  </r>
  <r>
    <s v="E096"/>
    <x v="1"/>
    <x v="20"/>
    <x v="3"/>
    <s v="Senior Executive"/>
    <n v="5600"/>
    <d v="2019-04-12T00:00:00"/>
    <x v="0"/>
    <m/>
    <n v="7"/>
    <s v="30-39"/>
  </r>
  <r>
    <s v="E097"/>
    <x v="0"/>
    <x v="10"/>
    <x v="5"/>
    <s v="Executive"/>
    <n v="3400"/>
    <d v="2023-06-05T00:00:00"/>
    <x v="0"/>
    <m/>
    <n v="3"/>
    <s v="20-29"/>
  </r>
  <r>
    <s v="E098"/>
    <x v="1"/>
    <x v="6"/>
    <x v="2"/>
    <s v="Manager"/>
    <n v="6350"/>
    <d v="2017-09-19T00:00:00"/>
    <x v="0"/>
    <m/>
    <n v="8"/>
    <s v="40+"/>
  </r>
  <r>
    <s v="E099"/>
    <x v="0"/>
    <x v="7"/>
    <x v="4"/>
    <s v="Officer"/>
    <n v="3900"/>
    <d v="2024-02-11T00:00:00"/>
    <x v="1"/>
    <s v="23/02/2026"/>
    <n v="2"/>
    <s v="20-29"/>
  </r>
  <r>
    <s v="E100"/>
    <x v="1"/>
    <x v="4"/>
    <x v="3"/>
    <s v="Officer"/>
    <n v="4400"/>
    <d v="2021-10-23T00:00:00"/>
    <x v="0"/>
    <m/>
    <n v="4"/>
    <s v="30-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187E5-9475-4519-8414-D1A59A0700AB}" name="PivotTable1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0" firstHeaderRow="1" firstDataRow="1" firstDataCol="1"/>
  <pivotFields count="11">
    <pivotField dataField="1" showAll="0"/>
    <pivotField showAll="0"/>
    <pivotField showAll="0"/>
    <pivotField axis="axisRow" showAll="0">
      <items count="7">
        <item x="1"/>
        <item x="0"/>
        <item x="3"/>
        <item x="5"/>
        <item x="2"/>
        <item x="4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7BDAF-BB04-4B5A-89C0-1E777105D9F7}" name="PivotTable2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6" firstHeaderRow="1" firstDataRow="1" firstDataCol="1"/>
  <pivotFields count="11"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BF805A-7E00-4B32-9418-8C01575C859D}" name="PivotTable3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6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numFmtId="1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D0E9B5-7D20-4D2D-B172-61C00B921020}" name="PivotTable4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0" firstHeaderRow="1" firstDataRow="1" firstDataCol="1"/>
  <pivotFields count="11">
    <pivotField showAll="0"/>
    <pivotField showAll="0"/>
    <pivotField showAll="0"/>
    <pivotField axis="axisRow" showAll="0">
      <items count="7">
        <item x="1"/>
        <item x="0"/>
        <item x="3"/>
        <item x="5"/>
        <item x="2"/>
        <item x="4"/>
        <item t="default"/>
      </items>
    </pivotField>
    <pivotField showAll="0"/>
    <pivotField dataField="1" showAll="0"/>
    <pivotField numFmtId="14"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ary" fld="5" subtotal="average" baseField="3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31FFA-C0EE-4A62-8C68-692E7D37E8D8}" name="PivotTable5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7" firstHeaderRow="1" firstDataRow="1" firstDataCol="1"/>
  <pivotFields count="11">
    <pivotField dataField="1" showAll="0"/>
    <pivotField showAll="0"/>
    <pivotField axis="axisRow" showAll="0">
      <items count="24">
        <item x="3"/>
        <item x="12"/>
        <item x="0"/>
        <item x="7"/>
        <item x="5"/>
        <item x="10"/>
        <item x="1"/>
        <item x="11"/>
        <item x="4"/>
        <item x="14"/>
        <item x="9"/>
        <item x="2"/>
        <item x="8"/>
        <item x="16"/>
        <item x="20"/>
        <item x="15"/>
        <item x="22"/>
        <item x="6"/>
        <item x="18"/>
        <item x="17"/>
        <item x="21"/>
        <item x="19"/>
        <item x="13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</pivotFields>
  <rowFields count="1">
    <field x="2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1C8F8-D34F-44B3-9F3A-2AD28BEF1B90}">
  <dimension ref="A1:K101"/>
  <sheetViews>
    <sheetView workbookViewId="0"/>
  </sheetViews>
  <sheetFormatPr defaultRowHeight="14.4" x14ac:dyDescent="0.3"/>
  <cols>
    <col min="1" max="1" width="12.88671875" customWidth="1"/>
    <col min="4" max="4" width="13.33203125" customWidth="1"/>
    <col min="5" max="5" width="20.5546875" customWidth="1"/>
    <col min="7" max="7" width="13.33203125" customWidth="1"/>
    <col min="8" max="8" width="11.5546875" customWidth="1"/>
    <col min="9" max="9" width="16.88671875" customWidth="1"/>
    <col min="11" max="11" width="11.88671875" customWidth="1"/>
  </cols>
  <sheetData>
    <row r="1" spans="1:1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123</v>
      </c>
      <c r="J1" s="10" t="s">
        <v>124</v>
      </c>
      <c r="K1" s="10" t="s">
        <v>125</v>
      </c>
    </row>
    <row r="2" spans="1:11" x14ac:dyDescent="0.3">
      <c r="A2" s="9" t="s">
        <v>8</v>
      </c>
      <c r="B2" s="9" t="s">
        <v>9</v>
      </c>
      <c r="C2" s="9">
        <v>25</v>
      </c>
      <c r="D2" s="9" t="s">
        <v>10</v>
      </c>
      <c r="E2" s="9" t="s">
        <v>11</v>
      </c>
      <c r="F2" s="9">
        <v>3200</v>
      </c>
      <c r="G2" s="11">
        <v>44936</v>
      </c>
      <c r="H2" s="9" t="s">
        <v>12</v>
      </c>
      <c r="I2" s="12"/>
      <c r="J2" s="12">
        <f ca="1">DATEDIF(G2,TODAY(),"Y")</f>
        <v>3</v>
      </c>
      <c r="K2" s="12" t="str">
        <f>IF(C2&lt;30,"20-29",IF(C2&lt;40,"30-39","40+"))</f>
        <v>20-29</v>
      </c>
    </row>
    <row r="3" spans="1:11" x14ac:dyDescent="0.3">
      <c r="A3" s="9" t="s">
        <v>13</v>
      </c>
      <c r="B3" s="9" t="s">
        <v>14</v>
      </c>
      <c r="C3" s="9">
        <v>29</v>
      </c>
      <c r="D3" s="9" t="s">
        <v>15</v>
      </c>
      <c r="E3" s="9" t="s">
        <v>16</v>
      </c>
      <c r="F3" s="9">
        <v>3500</v>
      </c>
      <c r="G3" s="11">
        <v>44727</v>
      </c>
      <c r="H3" s="9" t="s">
        <v>12</v>
      </c>
      <c r="I3" s="12"/>
      <c r="J3" s="12">
        <f t="shared" ref="J3:J66" ca="1" si="0">DATEDIF(G3,TODAY(),"Y")</f>
        <v>4</v>
      </c>
      <c r="K3" s="12" t="str">
        <f t="shared" ref="K3:K66" si="1">IF(C3&lt;30,"20-29",IF(C3&lt;40,"30-39","40+"))</f>
        <v>20-29</v>
      </c>
    </row>
    <row r="4" spans="1:11" x14ac:dyDescent="0.3">
      <c r="A4" s="9" t="s">
        <v>17</v>
      </c>
      <c r="B4" s="9" t="s">
        <v>9</v>
      </c>
      <c r="C4" s="9">
        <v>34</v>
      </c>
      <c r="D4" s="9" t="s">
        <v>18</v>
      </c>
      <c r="E4" s="9" t="s">
        <v>19</v>
      </c>
      <c r="F4" s="9">
        <v>6000</v>
      </c>
      <c r="G4" s="11">
        <v>44063</v>
      </c>
      <c r="H4" s="9" t="s">
        <v>20</v>
      </c>
      <c r="I4" s="12" t="s">
        <v>133</v>
      </c>
      <c r="J4" s="12">
        <f t="shared" ca="1" si="0"/>
        <v>5</v>
      </c>
      <c r="K4" s="12" t="str">
        <f t="shared" si="1"/>
        <v>30-39</v>
      </c>
    </row>
    <row r="5" spans="1:11" x14ac:dyDescent="0.3">
      <c r="A5" s="9" t="s">
        <v>21</v>
      </c>
      <c r="B5" s="9" t="s">
        <v>14</v>
      </c>
      <c r="C5" s="9">
        <v>23</v>
      </c>
      <c r="D5" s="9" t="s">
        <v>22</v>
      </c>
      <c r="E5" s="9" t="s">
        <v>23</v>
      </c>
      <c r="F5" s="9">
        <v>2800</v>
      </c>
      <c r="G5" s="11">
        <v>45608</v>
      </c>
      <c r="H5" s="9" t="s">
        <v>12</v>
      </c>
      <c r="I5" s="12"/>
      <c r="J5" s="12">
        <f t="shared" ca="1" si="0"/>
        <v>1</v>
      </c>
      <c r="K5" s="12" t="str">
        <f t="shared" si="1"/>
        <v>20-29</v>
      </c>
    </row>
    <row r="6" spans="1:11" ht="17.399999999999999" customHeight="1" x14ac:dyDescent="0.3">
      <c r="A6" s="9" t="s">
        <v>24</v>
      </c>
      <c r="B6" s="9" t="s">
        <v>9</v>
      </c>
      <c r="C6" s="9">
        <v>31</v>
      </c>
      <c r="D6" s="9" t="s">
        <v>25</v>
      </c>
      <c r="E6" s="9" t="s">
        <v>26</v>
      </c>
      <c r="F6" s="9">
        <v>4800</v>
      </c>
      <c r="G6" s="11">
        <v>44260</v>
      </c>
      <c r="H6" s="9" t="s">
        <v>12</v>
      </c>
      <c r="I6" s="12"/>
      <c r="J6" s="12">
        <f t="shared" ca="1" si="0"/>
        <v>5</v>
      </c>
      <c r="K6" s="12" t="str">
        <f t="shared" si="1"/>
        <v>30-39</v>
      </c>
    </row>
    <row r="7" spans="1:11" x14ac:dyDescent="0.3">
      <c r="A7" s="9" t="s">
        <v>27</v>
      </c>
      <c r="B7" s="9" t="s">
        <v>14</v>
      </c>
      <c r="C7" s="9">
        <v>27</v>
      </c>
      <c r="D7" s="9" t="s">
        <v>28</v>
      </c>
      <c r="E7" s="9" t="s">
        <v>11</v>
      </c>
      <c r="F7" s="9">
        <v>3300</v>
      </c>
      <c r="G7" s="11">
        <v>45126</v>
      </c>
      <c r="H7" s="9" t="s">
        <v>12</v>
      </c>
      <c r="I7" s="12"/>
      <c r="J7" s="12">
        <f t="shared" ca="1" si="0"/>
        <v>2</v>
      </c>
      <c r="K7" s="12" t="str">
        <f t="shared" si="1"/>
        <v>20-29</v>
      </c>
    </row>
    <row r="8" spans="1:11" x14ac:dyDescent="0.3">
      <c r="A8" s="9" t="s">
        <v>29</v>
      </c>
      <c r="B8" s="9" t="s">
        <v>9</v>
      </c>
      <c r="C8" s="9">
        <v>40</v>
      </c>
      <c r="D8" s="9" t="s">
        <v>22</v>
      </c>
      <c r="E8" s="9" t="s">
        <v>19</v>
      </c>
      <c r="F8" s="9">
        <v>7500</v>
      </c>
      <c r="G8" s="11">
        <v>43145</v>
      </c>
      <c r="H8" s="9" t="s">
        <v>12</v>
      </c>
      <c r="I8" s="12"/>
      <c r="J8" s="12">
        <f t="shared" ca="1" si="0"/>
        <v>8</v>
      </c>
      <c r="K8" s="12" t="str">
        <f t="shared" si="1"/>
        <v>40+</v>
      </c>
    </row>
    <row r="9" spans="1:11" x14ac:dyDescent="0.3">
      <c r="A9" s="9" t="s">
        <v>30</v>
      </c>
      <c r="B9" s="9" t="s">
        <v>14</v>
      </c>
      <c r="C9" s="9">
        <v>26</v>
      </c>
      <c r="D9" s="9" t="s">
        <v>15</v>
      </c>
      <c r="E9" s="9" t="s">
        <v>23</v>
      </c>
      <c r="F9" s="9">
        <v>2900</v>
      </c>
      <c r="G9" s="11">
        <v>45557</v>
      </c>
      <c r="H9" s="9" t="s">
        <v>12</v>
      </c>
      <c r="I9" s="12"/>
      <c r="J9" s="12">
        <f t="shared" ca="1" si="0"/>
        <v>1</v>
      </c>
      <c r="K9" s="12" t="str">
        <f t="shared" si="1"/>
        <v>20-29</v>
      </c>
    </row>
    <row r="10" spans="1:11" x14ac:dyDescent="0.3">
      <c r="A10" s="9" t="s">
        <v>31</v>
      </c>
      <c r="B10" s="9" t="s">
        <v>9</v>
      </c>
      <c r="C10" s="9">
        <v>35</v>
      </c>
      <c r="D10" s="9" t="s">
        <v>18</v>
      </c>
      <c r="E10" s="9" t="s">
        <v>16</v>
      </c>
      <c r="F10" s="9">
        <v>3800</v>
      </c>
      <c r="G10" s="11">
        <v>43951</v>
      </c>
      <c r="H10" s="9" t="s">
        <v>20</v>
      </c>
      <c r="I10" s="12" t="s">
        <v>134</v>
      </c>
      <c r="J10" s="12">
        <f t="shared" ca="1" si="0"/>
        <v>6</v>
      </c>
      <c r="K10" s="12" t="str">
        <f t="shared" si="1"/>
        <v>30-39</v>
      </c>
    </row>
    <row r="11" spans="1:11" x14ac:dyDescent="0.3">
      <c r="A11" s="9" t="s">
        <v>32</v>
      </c>
      <c r="B11" s="9" t="s">
        <v>14</v>
      </c>
      <c r="C11" s="9">
        <v>33</v>
      </c>
      <c r="D11" s="9" t="s">
        <v>25</v>
      </c>
      <c r="E11" s="9" t="s">
        <v>19</v>
      </c>
      <c r="F11" s="9">
        <v>6800</v>
      </c>
      <c r="G11" s="11">
        <v>43476</v>
      </c>
      <c r="H11" s="9" t="s">
        <v>12</v>
      </c>
      <c r="I11" s="12"/>
      <c r="J11" s="12">
        <f t="shared" ca="1" si="0"/>
        <v>7</v>
      </c>
      <c r="K11" s="12" t="str">
        <f t="shared" si="1"/>
        <v>30-39</v>
      </c>
    </row>
    <row r="12" spans="1:11" x14ac:dyDescent="0.3">
      <c r="A12" s="9" t="s">
        <v>33</v>
      </c>
      <c r="B12" s="9" t="s">
        <v>9</v>
      </c>
      <c r="C12" s="9">
        <v>28</v>
      </c>
      <c r="D12" s="9" t="s">
        <v>10</v>
      </c>
      <c r="E12" s="9" t="s">
        <v>16</v>
      </c>
      <c r="F12" s="9">
        <v>3600</v>
      </c>
      <c r="G12" s="11">
        <v>44698</v>
      </c>
      <c r="H12" s="9" t="s">
        <v>12</v>
      </c>
      <c r="I12" s="12"/>
      <c r="J12" s="12">
        <f t="shared" ca="1" si="0"/>
        <v>4</v>
      </c>
      <c r="K12" s="12" t="str">
        <f t="shared" si="1"/>
        <v>20-29</v>
      </c>
    </row>
    <row r="13" spans="1:11" ht="15.6" customHeight="1" x14ac:dyDescent="0.3">
      <c r="A13" s="9" t="s">
        <v>34</v>
      </c>
      <c r="B13" s="9" t="s">
        <v>14</v>
      </c>
      <c r="C13" s="9">
        <v>30</v>
      </c>
      <c r="D13" s="9" t="s">
        <v>22</v>
      </c>
      <c r="E13" s="9" t="s">
        <v>26</v>
      </c>
      <c r="F13" s="9">
        <v>5200</v>
      </c>
      <c r="G13" s="11">
        <v>44416</v>
      </c>
      <c r="H13" s="9" t="s">
        <v>12</v>
      </c>
      <c r="I13" s="12"/>
      <c r="J13" s="12">
        <f t="shared" ca="1" si="0"/>
        <v>4</v>
      </c>
      <c r="K13" s="12" t="str">
        <f t="shared" si="1"/>
        <v>30-39</v>
      </c>
    </row>
    <row r="14" spans="1:11" x14ac:dyDescent="0.3">
      <c r="A14" s="9" t="s">
        <v>35</v>
      </c>
      <c r="B14" s="9" t="s">
        <v>9</v>
      </c>
      <c r="C14" s="9">
        <v>24</v>
      </c>
      <c r="D14" s="9" t="s">
        <v>28</v>
      </c>
      <c r="E14" s="9" t="s">
        <v>23</v>
      </c>
      <c r="F14" s="9">
        <v>2700</v>
      </c>
      <c r="G14" s="11">
        <v>45568</v>
      </c>
      <c r="H14" s="9" t="s">
        <v>12</v>
      </c>
      <c r="I14" s="12"/>
      <c r="J14" s="12">
        <f t="shared" ca="1" si="0"/>
        <v>1</v>
      </c>
      <c r="K14" s="12" t="str">
        <f t="shared" si="1"/>
        <v>20-29</v>
      </c>
    </row>
    <row r="15" spans="1:11" x14ac:dyDescent="0.3">
      <c r="A15" s="9" t="s">
        <v>36</v>
      </c>
      <c r="B15" s="9" t="s">
        <v>14</v>
      </c>
      <c r="C15" s="9">
        <v>45</v>
      </c>
      <c r="D15" s="9" t="s">
        <v>15</v>
      </c>
      <c r="E15" s="9" t="s">
        <v>19</v>
      </c>
      <c r="F15" s="9">
        <v>8000</v>
      </c>
      <c r="G15" s="11">
        <v>42149</v>
      </c>
      <c r="H15" s="9" t="s">
        <v>12</v>
      </c>
      <c r="I15" s="12"/>
      <c r="J15" s="12">
        <f t="shared" ca="1" si="0"/>
        <v>11</v>
      </c>
      <c r="K15" s="12" t="str">
        <f t="shared" si="1"/>
        <v>40+</v>
      </c>
    </row>
    <row r="16" spans="1:11" x14ac:dyDescent="0.3">
      <c r="A16" s="9" t="s">
        <v>37</v>
      </c>
      <c r="B16" s="9" t="s">
        <v>9</v>
      </c>
      <c r="C16" s="9">
        <v>29</v>
      </c>
      <c r="D16" s="9" t="s">
        <v>18</v>
      </c>
      <c r="E16" s="9" t="s">
        <v>11</v>
      </c>
      <c r="F16" s="9">
        <v>3400</v>
      </c>
      <c r="G16" s="11">
        <v>44909</v>
      </c>
      <c r="H16" s="9" t="s">
        <v>12</v>
      </c>
      <c r="I16" s="12"/>
      <c r="J16" s="12">
        <f t="shared" ca="1" si="0"/>
        <v>3</v>
      </c>
      <c r="K16" s="12" t="str">
        <f t="shared" si="1"/>
        <v>20-29</v>
      </c>
    </row>
    <row r="17" spans="1:11" x14ac:dyDescent="0.3">
      <c r="A17" s="9" t="s">
        <v>38</v>
      </c>
      <c r="B17" s="9" t="s">
        <v>14</v>
      </c>
      <c r="C17" s="9">
        <v>32</v>
      </c>
      <c r="D17" s="9" t="s">
        <v>25</v>
      </c>
      <c r="E17" s="9" t="s">
        <v>16</v>
      </c>
      <c r="F17" s="9">
        <v>4000</v>
      </c>
      <c r="G17" s="11">
        <v>44368</v>
      </c>
      <c r="H17" s="9" t="s">
        <v>20</v>
      </c>
      <c r="I17" s="13">
        <v>45292</v>
      </c>
      <c r="J17" s="12">
        <f t="shared" ca="1" si="0"/>
        <v>5</v>
      </c>
      <c r="K17" s="12" t="str">
        <f t="shared" si="1"/>
        <v>30-39</v>
      </c>
    </row>
    <row r="18" spans="1:11" x14ac:dyDescent="0.3">
      <c r="A18" s="9" t="s">
        <v>39</v>
      </c>
      <c r="B18" s="9" t="s">
        <v>9</v>
      </c>
      <c r="C18" s="9">
        <v>26</v>
      </c>
      <c r="D18" s="9" t="s">
        <v>22</v>
      </c>
      <c r="E18" s="9" t="s">
        <v>11</v>
      </c>
      <c r="F18" s="9">
        <v>3500</v>
      </c>
      <c r="G18" s="11">
        <v>45300</v>
      </c>
      <c r="H18" s="9" t="s">
        <v>12</v>
      </c>
      <c r="I18" s="12"/>
      <c r="J18" s="12">
        <f t="shared" ca="1" si="0"/>
        <v>2</v>
      </c>
      <c r="K18" s="12" t="str">
        <f t="shared" si="1"/>
        <v>20-29</v>
      </c>
    </row>
    <row r="19" spans="1:11" x14ac:dyDescent="0.3">
      <c r="A19" s="9" t="s">
        <v>40</v>
      </c>
      <c r="B19" s="9" t="s">
        <v>14</v>
      </c>
      <c r="C19" s="9">
        <v>38</v>
      </c>
      <c r="D19" s="9" t="s">
        <v>10</v>
      </c>
      <c r="E19" s="9" t="s">
        <v>19</v>
      </c>
      <c r="F19" s="9">
        <v>6200</v>
      </c>
      <c r="G19" s="11">
        <v>42812</v>
      </c>
      <c r="H19" s="9" t="s">
        <v>12</v>
      </c>
      <c r="I19" s="12"/>
      <c r="J19" s="12">
        <f t="shared" ca="1" si="0"/>
        <v>9</v>
      </c>
      <c r="K19" s="12" t="str">
        <f t="shared" si="1"/>
        <v>30-39</v>
      </c>
    </row>
    <row r="20" spans="1:11" ht="20.399999999999999" customHeight="1" x14ac:dyDescent="0.3">
      <c r="A20" s="9" t="s">
        <v>41</v>
      </c>
      <c r="B20" s="9" t="s">
        <v>9</v>
      </c>
      <c r="C20" s="9">
        <v>30</v>
      </c>
      <c r="D20" s="9" t="s">
        <v>28</v>
      </c>
      <c r="E20" s="9" t="s">
        <v>26</v>
      </c>
      <c r="F20" s="9">
        <v>4600</v>
      </c>
      <c r="G20" s="11">
        <v>44146</v>
      </c>
      <c r="H20" s="9" t="s">
        <v>12</v>
      </c>
      <c r="I20" s="12"/>
      <c r="J20" s="12">
        <f t="shared" ca="1" si="0"/>
        <v>5</v>
      </c>
      <c r="K20" s="12" t="str">
        <f t="shared" si="1"/>
        <v>30-39</v>
      </c>
    </row>
    <row r="21" spans="1:11" x14ac:dyDescent="0.3">
      <c r="A21" s="9" t="s">
        <v>42</v>
      </c>
      <c r="B21" s="9" t="s">
        <v>14</v>
      </c>
      <c r="C21" s="9">
        <v>25</v>
      </c>
      <c r="D21" s="9" t="s">
        <v>18</v>
      </c>
      <c r="E21" s="9" t="s">
        <v>23</v>
      </c>
      <c r="F21" s="9">
        <v>2850</v>
      </c>
      <c r="G21" s="11">
        <v>45111</v>
      </c>
      <c r="H21" s="9" t="s">
        <v>12</v>
      </c>
      <c r="I21" s="12"/>
      <c r="J21" s="12">
        <f t="shared" ca="1" si="0"/>
        <v>2</v>
      </c>
      <c r="K21" s="12" t="str">
        <f t="shared" si="1"/>
        <v>20-29</v>
      </c>
    </row>
    <row r="22" spans="1:11" ht="18" customHeight="1" x14ac:dyDescent="0.3">
      <c r="A22" s="9" t="s">
        <v>43</v>
      </c>
      <c r="B22" s="9" t="s">
        <v>9</v>
      </c>
      <c r="C22" s="9">
        <v>36</v>
      </c>
      <c r="D22" s="9" t="s">
        <v>15</v>
      </c>
      <c r="E22" s="9" t="s">
        <v>26</v>
      </c>
      <c r="F22" s="9">
        <v>5000</v>
      </c>
      <c r="G22" s="11">
        <v>43515</v>
      </c>
      <c r="H22" s="9" t="s">
        <v>12</v>
      </c>
      <c r="I22" s="12"/>
      <c r="J22" s="12">
        <f t="shared" ca="1" si="0"/>
        <v>7</v>
      </c>
      <c r="K22" s="12" t="str">
        <f t="shared" si="1"/>
        <v>30-39</v>
      </c>
    </row>
    <row r="23" spans="1:11" x14ac:dyDescent="0.3">
      <c r="A23" s="9" t="s">
        <v>44</v>
      </c>
      <c r="B23" s="9" t="s">
        <v>14</v>
      </c>
      <c r="C23" s="9">
        <v>28</v>
      </c>
      <c r="D23" s="9" t="s">
        <v>25</v>
      </c>
      <c r="E23" s="9" t="s">
        <v>11</v>
      </c>
      <c r="F23" s="9">
        <v>3100</v>
      </c>
      <c r="G23" s="11">
        <v>45184</v>
      </c>
      <c r="H23" s="9" t="s">
        <v>12</v>
      </c>
      <c r="I23" s="12"/>
      <c r="J23" s="12">
        <f t="shared" ca="1" si="0"/>
        <v>2</v>
      </c>
      <c r="K23" s="12" t="str">
        <f t="shared" si="1"/>
        <v>20-29</v>
      </c>
    </row>
    <row r="24" spans="1:11" x14ac:dyDescent="0.3">
      <c r="A24" s="9" t="s">
        <v>45</v>
      </c>
      <c r="B24" s="9" t="s">
        <v>9</v>
      </c>
      <c r="C24" s="9">
        <v>42</v>
      </c>
      <c r="D24" s="9" t="s">
        <v>22</v>
      </c>
      <c r="E24" s="9" t="s">
        <v>19</v>
      </c>
      <c r="F24" s="9">
        <v>7800</v>
      </c>
      <c r="G24" s="11">
        <v>42522</v>
      </c>
      <c r="H24" s="9" t="s">
        <v>12</v>
      </c>
      <c r="I24" s="12"/>
      <c r="J24" s="12">
        <f t="shared" ca="1" si="0"/>
        <v>10</v>
      </c>
      <c r="K24" s="12" t="str">
        <f t="shared" si="1"/>
        <v>40+</v>
      </c>
    </row>
    <row r="25" spans="1:11" x14ac:dyDescent="0.3">
      <c r="A25" s="9" t="s">
        <v>46</v>
      </c>
      <c r="B25" s="9" t="s">
        <v>14</v>
      </c>
      <c r="C25" s="9">
        <v>24</v>
      </c>
      <c r="D25" s="9" t="s">
        <v>10</v>
      </c>
      <c r="E25" s="9" t="s">
        <v>23</v>
      </c>
      <c r="F25" s="9">
        <v>2750</v>
      </c>
      <c r="G25" s="11">
        <v>45422</v>
      </c>
      <c r="H25" s="9" t="s">
        <v>12</v>
      </c>
      <c r="I25" s="12"/>
      <c r="J25" s="12">
        <f t="shared" ca="1" si="0"/>
        <v>2</v>
      </c>
      <c r="K25" s="12" t="str">
        <f t="shared" si="1"/>
        <v>20-29</v>
      </c>
    </row>
    <row r="26" spans="1:11" x14ac:dyDescent="0.3">
      <c r="A26" s="9" t="s">
        <v>47</v>
      </c>
      <c r="B26" s="9" t="s">
        <v>9</v>
      </c>
      <c r="C26" s="9">
        <v>33</v>
      </c>
      <c r="D26" s="9" t="s">
        <v>28</v>
      </c>
      <c r="E26" s="9" t="s">
        <v>16</v>
      </c>
      <c r="F26" s="9">
        <v>3900</v>
      </c>
      <c r="G26" s="11">
        <v>44435</v>
      </c>
      <c r="H26" s="9" t="s">
        <v>20</v>
      </c>
      <c r="I26" s="12" t="s">
        <v>135</v>
      </c>
      <c r="J26" s="12">
        <f t="shared" ca="1" si="0"/>
        <v>4</v>
      </c>
      <c r="K26" s="12" t="str">
        <f t="shared" si="1"/>
        <v>30-39</v>
      </c>
    </row>
    <row r="27" spans="1:11" ht="16.8" customHeight="1" x14ac:dyDescent="0.3">
      <c r="A27" s="9" t="s">
        <v>48</v>
      </c>
      <c r="B27" s="9" t="s">
        <v>14</v>
      </c>
      <c r="C27" s="9">
        <v>31</v>
      </c>
      <c r="D27" s="9" t="s">
        <v>18</v>
      </c>
      <c r="E27" s="9" t="s">
        <v>26</v>
      </c>
      <c r="F27" s="9">
        <v>4900</v>
      </c>
      <c r="G27" s="11">
        <v>44299</v>
      </c>
      <c r="H27" s="9" t="s">
        <v>12</v>
      </c>
      <c r="I27" s="12"/>
      <c r="J27" s="12">
        <f t="shared" ca="1" si="0"/>
        <v>5</v>
      </c>
      <c r="K27" s="12" t="str">
        <f t="shared" si="1"/>
        <v>30-39</v>
      </c>
    </row>
    <row r="28" spans="1:11" x14ac:dyDescent="0.3">
      <c r="A28" s="9" t="s">
        <v>49</v>
      </c>
      <c r="B28" s="9" t="s">
        <v>9</v>
      </c>
      <c r="C28" s="9">
        <v>27</v>
      </c>
      <c r="D28" s="9" t="s">
        <v>15</v>
      </c>
      <c r="E28" s="9" t="s">
        <v>11</v>
      </c>
      <c r="F28" s="9">
        <v>3300</v>
      </c>
      <c r="G28" s="11">
        <v>45235</v>
      </c>
      <c r="H28" s="9" t="s">
        <v>12</v>
      </c>
      <c r="I28" s="12"/>
      <c r="J28" s="12">
        <f t="shared" ca="1" si="0"/>
        <v>2</v>
      </c>
      <c r="K28" s="12" t="str">
        <f t="shared" si="1"/>
        <v>20-29</v>
      </c>
    </row>
    <row r="29" spans="1:11" x14ac:dyDescent="0.3">
      <c r="A29" s="9" t="s">
        <v>50</v>
      </c>
      <c r="B29" s="9" t="s">
        <v>14</v>
      </c>
      <c r="C29" s="9">
        <v>29</v>
      </c>
      <c r="D29" s="9" t="s">
        <v>22</v>
      </c>
      <c r="E29" s="9" t="s">
        <v>16</v>
      </c>
      <c r="F29" s="9">
        <v>4100</v>
      </c>
      <c r="G29" s="11">
        <v>44583</v>
      </c>
      <c r="H29" s="9" t="s">
        <v>12</v>
      </c>
      <c r="I29" s="12"/>
      <c r="J29" s="12">
        <f t="shared" ca="1" si="0"/>
        <v>4</v>
      </c>
      <c r="K29" s="12" t="str">
        <f t="shared" si="1"/>
        <v>20-29</v>
      </c>
    </row>
    <row r="30" spans="1:11" ht="16.2" customHeight="1" x14ac:dyDescent="0.3">
      <c r="A30" s="9" t="s">
        <v>51</v>
      </c>
      <c r="B30" s="9" t="s">
        <v>9</v>
      </c>
      <c r="C30" s="9">
        <v>35</v>
      </c>
      <c r="D30" s="9" t="s">
        <v>25</v>
      </c>
      <c r="E30" s="9" t="s">
        <v>26</v>
      </c>
      <c r="F30" s="9">
        <v>5100</v>
      </c>
      <c r="G30" s="11">
        <v>44026</v>
      </c>
      <c r="H30" s="9" t="s">
        <v>12</v>
      </c>
      <c r="I30" s="12"/>
      <c r="J30" s="12">
        <f t="shared" ca="1" si="0"/>
        <v>5</v>
      </c>
      <c r="K30" s="12" t="str">
        <f t="shared" si="1"/>
        <v>30-39</v>
      </c>
    </row>
    <row r="31" spans="1:11" x14ac:dyDescent="0.3">
      <c r="A31" s="9" t="s">
        <v>52</v>
      </c>
      <c r="B31" s="9" t="s">
        <v>14</v>
      </c>
      <c r="C31" s="9">
        <v>41</v>
      </c>
      <c r="D31" s="9" t="s">
        <v>28</v>
      </c>
      <c r="E31" s="9" t="s">
        <v>19</v>
      </c>
      <c r="F31" s="9">
        <v>6700</v>
      </c>
      <c r="G31" s="11">
        <v>43017</v>
      </c>
      <c r="H31" s="9" t="s">
        <v>12</v>
      </c>
      <c r="I31" s="12"/>
      <c r="J31" s="12">
        <f t="shared" ca="1" si="0"/>
        <v>8</v>
      </c>
      <c r="K31" s="12" t="str">
        <f t="shared" si="1"/>
        <v>40+</v>
      </c>
    </row>
    <row r="32" spans="1:11" x14ac:dyDescent="0.3">
      <c r="A32" s="9" t="s">
        <v>53</v>
      </c>
      <c r="B32" s="9" t="s">
        <v>9</v>
      </c>
      <c r="C32" s="9">
        <v>23</v>
      </c>
      <c r="D32" s="9" t="s">
        <v>10</v>
      </c>
      <c r="E32" s="9" t="s">
        <v>23</v>
      </c>
      <c r="F32" s="9">
        <v>2700</v>
      </c>
      <c r="G32" s="11">
        <v>45627</v>
      </c>
      <c r="H32" s="9" t="s">
        <v>12</v>
      </c>
      <c r="I32" s="12"/>
      <c r="J32" s="12">
        <f t="shared" ca="1" si="0"/>
        <v>1</v>
      </c>
      <c r="K32" s="12" t="str">
        <f t="shared" si="1"/>
        <v>20-29</v>
      </c>
    </row>
    <row r="33" spans="1:11" x14ac:dyDescent="0.3">
      <c r="A33" s="9" t="s">
        <v>54</v>
      </c>
      <c r="B33" s="9" t="s">
        <v>14</v>
      </c>
      <c r="C33" s="9">
        <v>34</v>
      </c>
      <c r="D33" s="9" t="s">
        <v>18</v>
      </c>
      <c r="E33" s="9" t="s">
        <v>19</v>
      </c>
      <c r="F33" s="9">
        <v>6100</v>
      </c>
      <c r="G33" s="11">
        <v>43907</v>
      </c>
      <c r="H33" s="9" t="s">
        <v>12</v>
      </c>
      <c r="I33" s="12"/>
      <c r="J33" s="12">
        <f t="shared" ca="1" si="0"/>
        <v>6</v>
      </c>
      <c r="K33" s="12" t="str">
        <f t="shared" si="1"/>
        <v>30-39</v>
      </c>
    </row>
    <row r="34" spans="1:11" x14ac:dyDescent="0.3">
      <c r="A34" s="9" t="s">
        <v>55</v>
      </c>
      <c r="B34" s="9" t="s">
        <v>9</v>
      </c>
      <c r="C34" s="9">
        <v>30</v>
      </c>
      <c r="D34" s="9" t="s">
        <v>15</v>
      </c>
      <c r="E34" s="9" t="s">
        <v>16</v>
      </c>
      <c r="F34" s="9">
        <v>3700</v>
      </c>
      <c r="G34" s="11">
        <v>44376</v>
      </c>
      <c r="H34" s="9" t="s">
        <v>20</v>
      </c>
      <c r="I34" s="13">
        <v>44654</v>
      </c>
      <c r="J34" s="12">
        <f t="shared" ca="1" si="0"/>
        <v>4</v>
      </c>
      <c r="K34" s="12" t="str">
        <f t="shared" si="1"/>
        <v>30-39</v>
      </c>
    </row>
    <row r="35" spans="1:11" x14ac:dyDescent="0.3">
      <c r="A35" s="9" t="s">
        <v>56</v>
      </c>
      <c r="B35" s="9" t="s">
        <v>14</v>
      </c>
      <c r="C35" s="9">
        <v>26</v>
      </c>
      <c r="D35" s="9" t="s">
        <v>25</v>
      </c>
      <c r="E35" s="9" t="s">
        <v>23</v>
      </c>
      <c r="F35" s="9">
        <v>2800</v>
      </c>
      <c r="G35" s="11">
        <v>45333</v>
      </c>
      <c r="H35" s="9" t="s">
        <v>12</v>
      </c>
      <c r="I35" s="12"/>
      <c r="J35" s="12">
        <f t="shared" ca="1" si="0"/>
        <v>2</v>
      </c>
      <c r="K35" s="12" t="str">
        <f t="shared" si="1"/>
        <v>20-29</v>
      </c>
    </row>
    <row r="36" spans="1:11" x14ac:dyDescent="0.3">
      <c r="A36" s="9" t="s">
        <v>57</v>
      </c>
      <c r="B36" s="9" t="s">
        <v>9</v>
      </c>
      <c r="C36" s="9">
        <v>32</v>
      </c>
      <c r="D36" s="9" t="s">
        <v>22</v>
      </c>
      <c r="E36" s="9" t="s">
        <v>11</v>
      </c>
      <c r="F36" s="9">
        <v>3600</v>
      </c>
      <c r="G36" s="11">
        <v>44792</v>
      </c>
      <c r="H36" s="9" t="s">
        <v>12</v>
      </c>
      <c r="I36" s="12"/>
      <c r="J36" s="12">
        <f t="shared" ca="1" si="0"/>
        <v>3</v>
      </c>
      <c r="K36" s="12" t="str">
        <f t="shared" si="1"/>
        <v>30-39</v>
      </c>
    </row>
    <row r="37" spans="1:11" x14ac:dyDescent="0.3">
      <c r="A37" s="9" t="s">
        <v>58</v>
      </c>
      <c r="B37" s="9" t="s">
        <v>14</v>
      </c>
      <c r="C37" s="9">
        <v>28</v>
      </c>
      <c r="D37" s="9" t="s">
        <v>28</v>
      </c>
      <c r="E37" s="9" t="s">
        <v>11</v>
      </c>
      <c r="F37" s="9">
        <v>3250</v>
      </c>
      <c r="G37" s="11">
        <v>45050</v>
      </c>
      <c r="H37" s="9" t="s">
        <v>12</v>
      </c>
      <c r="I37" s="12"/>
      <c r="J37" s="12">
        <f t="shared" ca="1" si="0"/>
        <v>3</v>
      </c>
      <c r="K37" s="12" t="str">
        <f t="shared" si="1"/>
        <v>20-29</v>
      </c>
    </row>
    <row r="38" spans="1:11" x14ac:dyDescent="0.3">
      <c r="A38" s="9" t="s">
        <v>59</v>
      </c>
      <c r="B38" s="9" t="s">
        <v>9</v>
      </c>
      <c r="C38" s="9">
        <v>44</v>
      </c>
      <c r="D38" s="9" t="s">
        <v>18</v>
      </c>
      <c r="E38" s="9" t="s">
        <v>19</v>
      </c>
      <c r="F38" s="9">
        <v>6400</v>
      </c>
      <c r="G38" s="11">
        <v>42331</v>
      </c>
      <c r="H38" s="9" t="s">
        <v>12</v>
      </c>
      <c r="I38" s="12"/>
      <c r="J38" s="12">
        <f t="shared" ca="1" si="0"/>
        <v>10</v>
      </c>
      <c r="K38" s="12" t="str">
        <f t="shared" si="1"/>
        <v>40+</v>
      </c>
    </row>
    <row r="39" spans="1:11" ht="15" customHeight="1" x14ac:dyDescent="0.3">
      <c r="A39" s="9" t="s">
        <v>60</v>
      </c>
      <c r="B39" s="9" t="s">
        <v>14</v>
      </c>
      <c r="C39" s="9">
        <v>37</v>
      </c>
      <c r="D39" s="9" t="s">
        <v>10</v>
      </c>
      <c r="E39" s="9" t="s">
        <v>26</v>
      </c>
      <c r="F39" s="9">
        <v>4800</v>
      </c>
      <c r="G39" s="11">
        <v>43112</v>
      </c>
      <c r="H39" s="9" t="s">
        <v>12</v>
      </c>
      <c r="I39" s="12"/>
      <c r="J39" s="12">
        <f t="shared" ca="1" si="0"/>
        <v>8</v>
      </c>
      <c r="K39" s="12" t="str">
        <f t="shared" si="1"/>
        <v>30-39</v>
      </c>
    </row>
    <row r="40" spans="1:11" x14ac:dyDescent="0.3">
      <c r="A40" s="9" t="s">
        <v>61</v>
      </c>
      <c r="B40" s="9" t="s">
        <v>9</v>
      </c>
      <c r="C40" s="9">
        <v>25</v>
      </c>
      <c r="D40" s="9" t="s">
        <v>15</v>
      </c>
      <c r="E40" s="9" t="s">
        <v>23</v>
      </c>
      <c r="F40" s="9">
        <v>2950</v>
      </c>
      <c r="G40" s="11">
        <v>45488</v>
      </c>
      <c r="H40" s="9" t="s">
        <v>12</v>
      </c>
      <c r="I40" s="12"/>
      <c r="J40" s="12">
        <f t="shared" ca="1" si="0"/>
        <v>1</v>
      </c>
      <c r="K40" s="12" t="str">
        <f t="shared" si="1"/>
        <v>20-29</v>
      </c>
    </row>
    <row r="41" spans="1:11" x14ac:dyDescent="0.3">
      <c r="A41" s="9" t="s">
        <v>62</v>
      </c>
      <c r="B41" s="9" t="s">
        <v>14</v>
      </c>
      <c r="C41" s="9">
        <v>30</v>
      </c>
      <c r="D41" s="9" t="s">
        <v>22</v>
      </c>
      <c r="E41" s="9" t="s">
        <v>16</v>
      </c>
      <c r="F41" s="9">
        <v>4200</v>
      </c>
      <c r="G41" s="11">
        <v>44659</v>
      </c>
      <c r="H41" s="9" t="s">
        <v>12</v>
      </c>
      <c r="I41" s="12"/>
      <c r="J41" s="12">
        <f t="shared" ca="1" si="0"/>
        <v>4</v>
      </c>
      <c r="K41" s="12" t="str">
        <f t="shared" si="1"/>
        <v>30-39</v>
      </c>
    </row>
    <row r="42" spans="1:11" x14ac:dyDescent="0.3">
      <c r="A42" s="9" t="s">
        <v>63</v>
      </c>
      <c r="B42" s="9" t="s">
        <v>9</v>
      </c>
      <c r="C42" s="9">
        <v>29</v>
      </c>
      <c r="D42" s="9" t="s">
        <v>25</v>
      </c>
      <c r="E42" s="9" t="s">
        <v>11</v>
      </c>
      <c r="F42" s="9">
        <v>3150</v>
      </c>
      <c r="G42" s="11">
        <v>44824</v>
      </c>
      <c r="H42" s="9" t="s">
        <v>20</v>
      </c>
      <c r="I42" s="13">
        <v>45203</v>
      </c>
      <c r="J42" s="12">
        <f t="shared" ca="1" si="0"/>
        <v>3</v>
      </c>
      <c r="K42" s="12" t="str">
        <f t="shared" si="1"/>
        <v>20-29</v>
      </c>
    </row>
    <row r="43" spans="1:11" ht="14.4" customHeight="1" x14ac:dyDescent="0.3">
      <c r="A43" s="9" t="s">
        <v>64</v>
      </c>
      <c r="B43" s="9" t="s">
        <v>14</v>
      </c>
      <c r="C43" s="9">
        <v>35</v>
      </c>
      <c r="D43" s="9" t="s">
        <v>28</v>
      </c>
      <c r="E43" s="9" t="s">
        <v>26</v>
      </c>
      <c r="F43" s="9">
        <v>4700</v>
      </c>
      <c r="G43" s="11">
        <v>43875</v>
      </c>
      <c r="H43" s="9" t="s">
        <v>12</v>
      </c>
      <c r="I43" s="12"/>
      <c r="J43" s="12">
        <f t="shared" ca="1" si="0"/>
        <v>6</v>
      </c>
      <c r="K43" s="12" t="str">
        <f t="shared" si="1"/>
        <v>30-39</v>
      </c>
    </row>
    <row r="44" spans="1:11" x14ac:dyDescent="0.3">
      <c r="A44" s="9" t="s">
        <v>65</v>
      </c>
      <c r="B44" s="9" t="s">
        <v>9</v>
      </c>
      <c r="C44" s="9">
        <v>27</v>
      </c>
      <c r="D44" s="9" t="s">
        <v>18</v>
      </c>
      <c r="E44" s="9" t="s">
        <v>11</v>
      </c>
      <c r="F44" s="9">
        <v>3350</v>
      </c>
      <c r="G44" s="11">
        <v>45209</v>
      </c>
      <c r="H44" s="9" t="s">
        <v>12</v>
      </c>
      <c r="I44" s="12"/>
      <c r="J44" s="12">
        <f t="shared" ca="1" si="0"/>
        <v>2</v>
      </c>
      <c r="K44" s="12" t="str">
        <f t="shared" si="1"/>
        <v>20-29</v>
      </c>
    </row>
    <row r="45" spans="1:11" x14ac:dyDescent="0.3">
      <c r="A45" s="9" t="s">
        <v>66</v>
      </c>
      <c r="B45" s="9" t="s">
        <v>14</v>
      </c>
      <c r="C45" s="9">
        <v>43</v>
      </c>
      <c r="D45" s="9" t="s">
        <v>15</v>
      </c>
      <c r="E45" s="9" t="s">
        <v>19</v>
      </c>
      <c r="F45" s="9">
        <v>8200</v>
      </c>
      <c r="G45" s="11">
        <v>42493</v>
      </c>
      <c r="H45" s="9" t="s">
        <v>12</v>
      </c>
      <c r="I45" s="12"/>
      <c r="J45" s="12">
        <f t="shared" ca="1" si="0"/>
        <v>10</v>
      </c>
      <c r="K45" s="12" t="str">
        <f t="shared" si="1"/>
        <v>40+</v>
      </c>
    </row>
    <row r="46" spans="1:11" x14ac:dyDescent="0.3">
      <c r="A46" s="9" t="s">
        <v>67</v>
      </c>
      <c r="B46" s="9" t="s">
        <v>9</v>
      </c>
      <c r="C46" s="9">
        <v>24</v>
      </c>
      <c r="D46" s="9" t="s">
        <v>22</v>
      </c>
      <c r="E46" s="9" t="s">
        <v>23</v>
      </c>
      <c r="F46" s="9">
        <v>2850</v>
      </c>
      <c r="G46" s="11">
        <v>45461</v>
      </c>
      <c r="H46" s="9" t="s">
        <v>12</v>
      </c>
      <c r="I46" s="12"/>
      <c r="J46" s="12">
        <f t="shared" ca="1" si="0"/>
        <v>2</v>
      </c>
      <c r="K46" s="12" t="str">
        <f t="shared" si="1"/>
        <v>20-29</v>
      </c>
    </row>
    <row r="47" spans="1:11" x14ac:dyDescent="0.3">
      <c r="A47" s="9" t="s">
        <v>68</v>
      </c>
      <c r="B47" s="9" t="s">
        <v>14</v>
      </c>
      <c r="C47" s="9">
        <v>31</v>
      </c>
      <c r="D47" s="9" t="s">
        <v>10</v>
      </c>
      <c r="E47" s="9" t="s">
        <v>16</v>
      </c>
      <c r="F47" s="9">
        <v>3750</v>
      </c>
      <c r="G47" s="11">
        <v>44522</v>
      </c>
      <c r="H47" s="9" t="s">
        <v>12</v>
      </c>
      <c r="I47" s="12"/>
      <c r="J47" s="12">
        <f t="shared" ca="1" si="0"/>
        <v>4</v>
      </c>
      <c r="K47" s="12" t="str">
        <f t="shared" si="1"/>
        <v>30-39</v>
      </c>
    </row>
    <row r="48" spans="1:11" x14ac:dyDescent="0.3">
      <c r="A48" s="9" t="s">
        <v>69</v>
      </c>
      <c r="B48" s="9" t="s">
        <v>9</v>
      </c>
      <c r="C48" s="9">
        <v>33</v>
      </c>
      <c r="D48" s="9" t="s">
        <v>25</v>
      </c>
      <c r="E48" s="9" t="s">
        <v>19</v>
      </c>
      <c r="F48" s="9">
        <v>6900</v>
      </c>
      <c r="G48" s="11">
        <v>43837</v>
      </c>
      <c r="H48" s="9" t="s">
        <v>12</v>
      </c>
      <c r="I48" s="12"/>
      <c r="J48" s="12">
        <f t="shared" ca="1" si="0"/>
        <v>6</v>
      </c>
      <c r="K48" s="12" t="str">
        <f t="shared" si="1"/>
        <v>30-39</v>
      </c>
    </row>
    <row r="49" spans="1:11" x14ac:dyDescent="0.3">
      <c r="A49" s="9" t="s">
        <v>70</v>
      </c>
      <c r="B49" s="9" t="s">
        <v>14</v>
      </c>
      <c r="C49" s="9">
        <v>26</v>
      </c>
      <c r="D49" s="9" t="s">
        <v>28</v>
      </c>
      <c r="E49" s="9" t="s">
        <v>23</v>
      </c>
      <c r="F49" s="9">
        <v>2750</v>
      </c>
      <c r="G49" s="11">
        <v>45365</v>
      </c>
      <c r="H49" s="9" t="s">
        <v>12</v>
      </c>
      <c r="I49" s="12"/>
      <c r="J49" s="12">
        <f t="shared" ca="1" si="0"/>
        <v>2</v>
      </c>
      <c r="K49" s="12" t="str">
        <f t="shared" si="1"/>
        <v>20-29</v>
      </c>
    </row>
    <row r="50" spans="1:11" ht="20.399999999999999" customHeight="1" x14ac:dyDescent="0.3">
      <c r="A50" s="9" t="s">
        <v>71</v>
      </c>
      <c r="B50" s="9" t="s">
        <v>9</v>
      </c>
      <c r="C50" s="9">
        <v>38</v>
      </c>
      <c r="D50" s="9" t="s">
        <v>18</v>
      </c>
      <c r="E50" s="9" t="s">
        <v>26</v>
      </c>
      <c r="F50" s="9">
        <v>5100</v>
      </c>
      <c r="G50" s="11">
        <v>43300</v>
      </c>
      <c r="H50" s="9" t="s">
        <v>12</v>
      </c>
      <c r="I50" s="12"/>
      <c r="J50" s="12">
        <f t="shared" ca="1" si="0"/>
        <v>7</v>
      </c>
      <c r="K50" s="12" t="str">
        <f t="shared" si="1"/>
        <v>30-39</v>
      </c>
    </row>
    <row r="51" spans="1:11" x14ac:dyDescent="0.3">
      <c r="A51" s="9" t="s">
        <v>72</v>
      </c>
      <c r="B51" s="9" t="s">
        <v>14</v>
      </c>
      <c r="C51" s="9">
        <v>29</v>
      </c>
      <c r="D51" s="9" t="s">
        <v>15</v>
      </c>
      <c r="E51" s="9" t="s">
        <v>11</v>
      </c>
      <c r="F51" s="9">
        <v>3400</v>
      </c>
      <c r="G51" s="11">
        <v>44906</v>
      </c>
      <c r="H51" s="9" t="s">
        <v>20</v>
      </c>
      <c r="I51" s="12" t="s">
        <v>136</v>
      </c>
      <c r="J51" s="12">
        <f t="shared" ca="1" si="0"/>
        <v>3</v>
      </c>
      <c r="K51" s="12" t="str">
        <f t="shared" si="1"/>
        <v>20-29</v>
      </c>
    </row>
    <row r="52" spans="1:11" ht="16.8" customHeight="1" x14ac:dyDescent="0.3">
      <c r="A52" s="9" t="s">
        <v>73</v>
      </c>
      <c r="B52" s="9" t="s">
        <v>9</v>
      </c>
      <c r="C52" s="9">
        <v>32</v>
      </c>
      <c r="D52" s="9" t="s">
        <v>22</v>
      </c>
      <c r="E52" s="9" t="s">
        <v>26</v>
      </c>
      <c r="F52" s="9">
        <v>5400</v>
      </c>
      <c r="G52" s="11">
        <v>44444</v>
      </c>
      <c r="H52" s="9" t="s">
        <v>12</v>
      </c>
      <c r="I52" s="12"/>
      <c r="J52" s="12">
        <f t="shared" ca="1" si="0"/>
        <v>4</v>
      </c>
      <c r="K52" s="12" t="str">
        <f t="shared" si="1"/>
        <v>30-39</v>
      </c>
    </row>
    <row r="53" spans="1:11" x14ac:dyDescent="0.3">
      <c r="A53" s="9" t="s">
        <v>74</v>
      </c>
      <c r="B53" s="9" t="s">
        <v>14</v>
      </c>
      <c r="C53" s="9">
        <v>25</v>
      </c>
      <c r="D53" s="9" t="s">
        <v>10</v>
      </c>
      <c r="E53" s="9" t="s">
        <v>11</v>
      </c>
      <c r="F53" s="9">
        <v>3200</v>
      </c>
      <c r="G53" s="11">
        <v>44985</v>
      </c>
      <c r="H53" s="9" t="s">
        <v>12</v>
      </c>
      <c r="I53" s="12"/>
      <c r="J53" s="12">
        <f t="shared" ca="1" si="0"/>
        <v>3</v>
      </c>
      <c r="K53" s="12" t="str">
        <f t="shared" si="1"/>
        <v>20-29</v>
      </c>
    </row>
    <row r="54" spans="1:11" x14ac:dyDescent="0.3">
      <c r="A54" s="9" t="s">
        <v>75</v>
      </c>
      <c r="B54" s="9" t="s">
        <v>9</v>
      </c>
      <c r="C54" s="9">
        <v>36</v>
      </c>
      <c r="D54" s="9" t="s">
        <v>28</v>
      </c>
      <c r="E54" s="9" t="s">
        <v>19</v>
      </c>
      <c r="F54" s="9">
        <v>6600</v>
      </c>
      <c r="G54" s="11">
        <v>43571</v>
      </c>
      <c r="H54" s="9" t="s">
        <v>12</v>
      </c>
      <c r="I54" s="12"/>
      <c r="J54" s="12">
        <f t="shared" ca="1" si="0"/>
        <v>7</v>
      </c>
      <c r="K54" s="12" t="str">
        <f t="shared" si="1"/>
        <v>30-39</v>
      </c>
    </row>
    <row r="55" spans="1:11" x14ac:dyDescent="0.3">
      <c r="A55" s="9" t="s">
        <v>76</v>
      </c>
      <c r="B55" s="9" t="s">
        <v>14</v>
      </c>
      <c r="C55" s="9">
        <v>28</v>
      </c>
      <c r="D55" s="9" t="s">
        <v>25</v>
      </c>
      <c r="E55" s="9" t="s">
        <v>16</v>
      </c>
      <c r="F55" s="9">
        <v>3950</v>
      </c>
      <c r="G55" s="11">
        <v>44785</v>
      </c>
      <c r="H55" s="9" t="s">
        <v>12</v>
      </c>
      <c r="I55" s="12"/>
      <c r="J55" s="12">
        <f t="shared" ca="1" si="0"/>
        <v>3</v>
      </c>
      <c r="K55" s="12" t="str">
        <f t="shared" si="1"/>
        <v>20-29</v>
      </c>
    </row>
    <row r="56" spans="1:11" x14ac:dyDescent="0.3">
      <c r="A56" s="9" t="s">
        <v>77</v>
      </c>
      <c r="B56" s="9" t="s">
        <v>9</v>
      </c>
      <c r="C56" s="9">
        <v>23</v>
      </c>
      <c r="D56" s="9" t="s">
        <v>18</v>
      </c>
      <c r="E56" s="9" t="s">
        <v>23</v>
      </c>
      <c r="F56" s="9">
        <v>2800</v>
      </c>
      <c r="G56" s="11">
        <v>45597</v>
      </c>
      <c r="H56" s="9" t="s">
        <v>12</v>
      </c>
      <c r="I56" s="12"/>
      <c r="J56" s="12">
        <f t="shared" ca="1" si="0"/>
        <v>1</v>
      </c>
      <c r="K56" s="12" t="str">
        <f t="shared" si="1"/>
        <v>20-29</v>
      </c>
    </row>
    <row r="57" spans="1:11" x14ac:dyDescent="0.3">
      <c r="A57" s="9" t="s">
        <v>78</v>
      </c>
      <c r="B57" s="9" t="s">
        <v>14</v>
      </c>
      <c r="C57" s="9">
        <v>40</v>
      </c>
      <c r="D57" s="9" t="s">
        <v>15</v>
      </c>
      <c r="E57" s="9" t="s">
        <v>19</v>
      </c>
      <c r="F57" s="9">
        <v>7900</v>
      </c>
      <c r="G57" s="11">
        <v>42910</v>
      </c>
      <c r="H57" s="9" t="s">
        <v>12</v>
      </c>
      <c r="I57" s="12"/>
      <c r="J57" s="12">
        <f t="shared" ca="1" si="0"/>
        <v>8</v>
      </c>
      <c r="K57" s="12" t="str">
        <f t="shared" si="1"/>
        <v>40+</v>
      </c>
    </row>
    <row r="58" spans="1:11" x14ac:dyDescent="0.3">
      <c r="A58" s="9" t="s">
        <v>79</v>
      </c>
      <c r="B58" s="9" t="s">
        <v>9</v>
      </c>
      <c r="C58" s="9">
        <v>30</v>
      </c>
      <c r="D58" s="9" t="s">
        <v>22</v>
      </c>
      <c r="E58" s="9" t="s">
        <v>16</v>
      </c>
      <c r="F58" s="9">
        <v>4300</v>
      </c>
      <c r="G58" s="11">
        <v>44635</v>
      </c>
      <c r="H58" s="9" t="s">
        <v>12</v>
      </c>
      <c r="I58" s="12"/>
      <c r="J58" s="12">
        <f t="shared" ca="1" si="0"/>
        <v>4</v>
      </c>
      <c r="K58" s="12" t="str">
        <f t="shared" si="1"/>
        <v>30-39</v>
      </c>
    </row>
    <row r="59" spans="1:11" ht="16.2" customHeight="1" x14ac:dyDescent="0.3">
      <c r="A59" s="9" t="s">
        <v>80</v>
      </c>
      <c r="B59" s="9" t="s">
        <v>14</v>
      </c>
      <c r="C59" s="9">
        <v>34</v>
      </c>
      <c r="D59" s="9" t="s">
        <v>10</v>
      </c>
      <c r="E59" s="9" t="s">
        <v>26</v>
      </c>
      <c r="F59" s="9">
        <v>4950</v>
      </c>
      <c r="G59" s="11">
        <v>44113</v>
      </c>
      <c r="H59" s="9" t="s">
        <v>20</v>
      </c>
      <c r="I59" s="13">
        <v>44449</v>
      </c>
      <c r="J59" s="12">
        <f t="shared" ca="1" si="0"/>
        <v>5</v>
      </c>
      <c r="K59" s="12" t="str">
        <f t="shared" si="1"/>
        <v>30-39</v>
      </c>
    </row>
    <row r="60" spans="1:11" x14ac:dyDescent="0.3">
      <c r="A60" s="9" t="s">
        <v>81</v>
      </c>
      <c r="B60" s="9" t="s">
        <v>9</v>
      </c>
      <c r="C60" s="9">
        <v>27</v>
      </c>
      <c r="D60" s="9" t="s">
        <v>25</v>
      </c>
      <c r="E60" s="9" t="s">
        <v>11</v>
      </c>
      <c r="F60" s="9">
        <v>3200</v>
      </c>
      <c r="G60" s="11">
        <v>44930</v>
      </c>
      <c r="H60" s="9" t="s">
        <v>12</v>
      </c>
      <c r="I60" s="12"/>
      <c r="J60" s="12">
        <f t="shared" ca="1" si="0"/>
        <v>3</v>
      </c>
      <c r="K60" s="12" t="str">
        <f t="shared" si="1"/>
        <v>20-29</v>
      </c>
    </row>
    <row r="61" spans="1:11" x14ac:dyDescent="0.3">
      <c r="A61" s="9" t="s">
        <v>82</v>
      </c>
      <c r="B61" s="9" t="s">
        <v>14</v>
      </c>
      <c r="C61" s="9">
        <v>26</v>
      </c>
      <c r="D61" s="9" t="s">
        <v>28</v>
      </c>
      <c r="E61" s="9" t="s">
        <v>11</v>
      </c>
      <c r="F61" s="9">
        <v>3300</v>
      </c>
      <c r="G61" s="11">
        <v>45064</v>
      </c>
      <c r="H61" s="9" t="s">
        <v>12</v>
      </c>
      <c r="I61" s="12"/>
      <c r="J61" s="12">
        <f t="shared" ca="1" si="0"/>
        <v>3</v>
      </c>
      <c r="K61" s="12" t="str">
        <f t="shared" si="1"/>
        <v>20-29</v>
      </c>
    </row>
    <row r="62" spans="1:11" x14ac:dyDescent="0.3">
      <c r="A62" s="9" t="s">
        <v>83</v>
      </c>
      <c r="B62" s="9" t="s">
        <v>9</v>
      </c>
      <c r="C62" s="9">
        <v>45</v>
      </c>
      <c r="D62" s="9" t="s">
        <v>18</v>
      </c>
      <c r="E62" s="9" t="s">
        <v>19</v>
      </c>
      <c r="F62" s="9">
        <v>6500</v>
      </c>
      <c r="G62" s="11">
        <v>42046</v>
      </c>
      <c r="H62" s="9" t="s">
        <v>12</v>
      </c>
      <c r="I62" s="12"/>
      <c r="J62" s="12">
        <f t="shared" ca="1" si="0"/>
        <v>11</v>
      </c>
      <c r="K62" s="12" t="str">
        <f t="shared" si="1"/>
        <v>40+</v>
      </c>
    </row>
    <row r="63" spans="1:11" x14ac:dyDescent="0.3">
      <c r="A63" s="9" t="s">
        <v>84</v>
      </c>
      <c r="B63" s="9" t="s">
        <v>14</v>
      </c>
      <c r="C63" s="9">
        <v>24</v>
      </c>
      <c r="D63" s="9" t="s">
        <v>15</v>
      </c>
      <c r="E63" s="9" t="s">
        <v>23</v>
      </c>
      <c r="F63" s="9">
        <v>2900</v>
      </c>
      <c r="G63" s="11">
        <v>45534</v>
      </c>
      <c r="H63" s="9" t="s">
        <v>12</v>
      </c>
      <c r="I63" s="12"/>
      <c r="J63" s="12">
        <f t="shared" ca="1" si="0"/>
        <v>1</v>
      </c>
      <c r="K63" s="12" t="str">
        <f t="shared" si="1"/>
        <v>20-29</v>
      </c>
    </row>
    <row r="64" spans="1:11" x14ac:dyDescent="0.3">
      <c r="A64" s="9" t="s">
        <v>85</v>
      </c>
      <c r="B64" s="9" t="s">
        <v>9</v>
      </c>
      <c r="C64" s="9">
        <v>31</v>
      </c>
      <c r="D64" s="9" t="s">
        <v>22</v>
      </c>
      <c r="E64" s="9" t="s">
        <v>11</v>
      </c>
      <c r="F64" s="9">
        <v>3550</v>
      </c>
      <c r="G64" s="11">
        <v>44756</v>
      </c>
      <c r="H64" s="9" t="s">
        <v>12</v>
      </c>
      <c r="I64" s="12"/>
      <c r="J64" s="12">
        <f t="shared" ca="1" si="0"/>
        <v>3</v>
      </c>
      <c r="K64" s="12" t="str">
        <f t="shared" si="1"/>
        <v>30-39</v>
      </c>
    </row>
    <row r="65" spans="1:11" x14ac:dyDescent="0.3">
      <c r="A65" s="9" t="s">
        <v>86</v>
      </c>
      <c r="B65" s="9" t="s">
        <v>14</v>
      </c>
      <c r="C65" s="9">
        <v>37</v>
      </c>
      <c r="D65" s="9" t="s">
        <v>25</v>
      </c>
      <c r="E65" s="9" t="s">
        <v>19</v>
      </c>
      <c r="F65" s="9">
        <v>7100</v>
      </c>
      <c r="G65" s="11">
        <v>43180</v>
      </c>
      <c r="H65" s="9" t="s">
        <v>12</v>
      </c>
      <c r="I65" s="12"/>
      <c r="J65" s="12">
        <f t="shared" ca="1" si="0"/>
        <v>8</v>
      </c>
      <c r="K65" s="12" t="str">
        <f t="shared" si="1"/>
        <v>30-39</v>
      </c>
    </row>
    <row r="66" spans="1:11" x14ac:dyDescent="0.3">
      <c r="A66" s="9" t="s">
        <v>87</v>
      </c>
      <c r="B66" s="9" t="s">
        <v>9</v>
      </c>
      <c r="C66" s="9">
        <v>29</v>
      </c>
      <c r="D66" s="9" t="s">
        <v>10</v>
      </c>
      <c r="E66" s="9" t="s">
        <v>16</v>
      </c>
      <c r="F66" s="9">
        <v>3650</v>
      </c>
      <c r="G66" s="11">
        <v>44839</v>
      </c>
      <c r="H66" s="9" t="s">
        <v>12</v>
      </c>
      <c r="I66" s="12"/>
      <c r="J66" s="12">
        <f t="shared" ca="1" si="0"/>
        <v>3</v>
      </c>
      <c r="K66" s="12" t="str">
        <f t="shared" si="1"/>
        <v>20-29</v>
      </c>
    </row>
    <row r="67" spans="1:11" ht="19.2" customHeight="1" x14ac:dyDescent="0.3">
      <c r="A67" s="9" t="s">
        <v>88</v>
      </c>
      <c r="B67" s="9" t="s">
        <v>14</v>
      </c>
      <c r="C67" s="9">
        <v>33</v>
      </c>
      <c r="D67" s="9" t="s">
        <v>28</v>
      </c>
      <c r="E67" s="9" t="s">
        <v>26</v>
      </c>
      <c r="F67" s="9">
        <v>4750</v>
      </c>
      <c r="G67" s="11">
        <v>44177</v>
      </c>
      <c r="H67" s="9" t="s">
        <v>20</v>
      </c>
      <c r="I67" s="12" t="s">
        <v>137</v>
      </c>
      <c r="J67" s="12">
        <f t="shared" ref="J67:J101" ca="1" si="2">DATEDIF(G67,TODAY(),"Y")</f>
        <v>5</v>
      </c>
      <c r="K67" s="12" t="str">
        <f t="shared" ref="K67:K101" si="3">IF(C67&lt;30,"20-29",IF(C67&lt;40,"30-39","40+"))</f>
        <v>30-39</v>
      </c>
    </row>
    <row r="68" spans="1:11" x14ac:dyDescent="0.3">
      <c r="A68" s="9" t="s">
        <v>89</v>
      </c>
      <c r="B68" s="9" t="s">
        <v>9</v>
      </c>
      <c r="C68" s="9">
        <v>28</v>
      </c>
      <c r="D68" s="9" t="s">
        <v>18</v>
      </c>
      <c r="E68" s="9" t="s">
        <v>16</v>
      </c>
      <c r="F68" s="9">
        <v>3850</v>
      </c>
      <c r="G68" s="11">
        <v>44670</v>
      </c>
      <c r="H68" s="9" t="s">
        <v>12</v>
      </c>
      <c r="I68" s="12"/>
      <c r="J68" s="12">
        <f t="shared" ca="1" si="2"/>
        <v>4</v>
      </c>
      <c r="K68" s="12" t="str">
        <f t="shared" si="3"/>
        <v>20-29</v>
      </c>
    </row>
    <row r="69" spans="1:11" x14ac:dyDescent="0.3">
      <c r="A69" s="9" t="s">
        <v>90</v>
      </c>
      <c r="B69" s="9" t="s">
        <v>14</v>
      </c>
      <c r="C69" s="9">
        <v>42</v>
      </c>
      <c r="D69" s="9" t="s">
        <v>22</v>
      </c>
      <c r="E69" s="9" t="s">
        <v>19</v>
      </c>
      <c r="F69" s="9">
        <v>8100</v>
      </c>
      <c r="G69" s="11">
        <v>42554</v>
      </c>
      <c r="H69" s="9" t="s">
        <v>12</v>
      </c>
      <c r="I69" s="12"/>
      <c r="J69" s="12">
        <f t="shared" ca="1" si="2"/>
        <v>9</v>
      </c>
      <c r="K69" s="12" t="str">
        <f t="shared" si="3"/>
        <v>40+</v>
      </c>
    </row>
    <row r="70" spans="1:11" x14ac:dyDescent="0.3">
      <c r="A70" s="9" t="s">
        <v>91</v>
      </c>
      <c r="B70" s="9" t="s">
        <v>9</v>
      </c>
      <c r="C70" s="9">
        <v>25</v>
      </c>
      <c r="D70" s="9" t="s">
        <v>25</v>
      </c>
      <c r="E70" s="9" t="s">
        <v>23</v>
      </c>
      <c r="F70" s="9">
        <v>2850</v>
      </c>
      <c r="G70" s="11">
        <v>45302</v>
      </c>
      <c r="H70" s="9" t="s">
        <v>12</v>
      </c>
      <c r="I70" s="12"/>
      <c r="J70" s="12">
        <f t="shared" ca="1" si="2"/>
        <v>2</v>
      </c>
      <c r="K70" s="12" t="str">
        <f t="shared" si="3"/>
        <v>20-29</v>
      </c>
    </row>
    <row r="71" spans="1:11" ht="22.2" customHeight="1" x14ac:dyDescent="0.3">
      <c r="A71" s="9" t="s">
        <v>92</v>
      </c>
      <c r="B71" s="9" t="s">
        <v>14</v>
      </c>
      <c r="C71" s="9">
        <v>30</v>
      </c>
      <c r="D71" s="9" t="s">
        <v>15</v>
      </c>
      <c r="E71" s="9" t="s">
        <v>26</v>
      </c>
      <c r="F71" s="9">
        <v>5150</v>
      </c>
      <c r="G71" s="11">
        <v>44433</v>
      </c>
      <c r="H71" s="9" t="s">
        <v>12</v>
      </c>
      <c r="I71" s="12"/>
      <c r="J71" s="12">
        <f t="shared" ca="1" si="2"/>
        <v>4</v>
      </c>
      <c r="K71" s="12" t="str">
        <f t="shared" si="3"/>
        <v>30-39</v>
      </c>
    </row>
    <row r="72" spans="1:11" x14ac:dyDescent="0.3">
      <c r="A72" s="9" t="s">
        <v>93</v>
      </c>
      <c r="B72" s="9" t="s">
        <v>9</v>
      </c>
      <c r="C72" s="9">
        <v>35</v>
      </c>
      <c r="D72" s="9" t="s">
        <v>10</v>
      </c>
      <c r="E72" s="9" t="s">
        <v>19</v>
      </c>
      <c r="F72" s="9">
        <v>6300</v>
      </c>
      <c r="G72" s="11">
        <v>43965</v>
      </c>
      <c r="H72" s="9" t="s">
        <v>12</v>
      </c>
      <c r="I72" s="12"/>
      <c r="J72" s="12">
        <f t="shared" ca="1" si="2"/>
        <v>6</v>
      </c>
      <c r="K72" s="12" t="str">
        <f t="shared" si="3"/>
        <v>30-39</v>
      </c>
    </row>
    <row r="73" spans="1:11" x14ac:dyDescent="0.3">
      <c r="A73" s="9" t="s">
        <v>94</v>
      </c>
      <c r="B73" s="9" t="s">
        <v>14</v>
      </c>
      <c r="C73" s="9">
        <v>23</v>
      </c>
      <c r="D73" s="9" t="s">
        <v>28</v>
      </c>
      <c r="E73" s="9" t="s">
        <v>23</v>
      </c>
      <c r="F73" s="9">
        <v>2700</v>
      </c>
      <c r="G73" s="11">
        <v>45605</v>
      </c>
      <c r="H73" s="9" t="s">
        <v>12</v>
      </c>
      <c r="I73" s="12"/>
      <c r="J73" s="12">
        <f t="shared" ca="1" si="2"/>
        <v>1</v>
      </c>
      <c r="K73" s="12" t="str">
        <f t="shared" si="3"/>
        <v>20-29</v>
      </c>
    </row>
    <row r="74" spans="1:11" x14ac:dyDescent="0.3">
      <c r="A74" s="9" t="s">
        <v>95</v>
      </c>
      <c r="B74" s="9" t="s">
        <v>9</v>
      </c>
      <c r="C74" s="9">
        <v>32</v>
      </c>
      <c r="D74" s="9" t="s">
        <v>18</v>
      </c>
      <c r="E74" s="9" t="s">
        <v>11</v>
      </c>
      <c r="F74" s="9">
        <v>3450</v>
      </c>
      <c r="G74" s="11">
        <v>44614</v>
      </c>
      <c r="H74" s="9" t="s">
        <v>12</v>
      </c>
      <c r="I74" s="12"/>
      <c r="J74" s="12">
        <f t="shared" ca="1" si="2"/>
        <v>4</v>
      </c>
      <c r="K74" s="12" t="str">
        <f t="shared" si="3"/>
        <v>30-39</v>
      </c>
    </row>
    <row r="75" spans="1:11" x14ac:dyDescent="0.3">
      <c r="A75" s="9" t="s">
        <v>96</v>
      </c>
      <c r="B75" s="9" t="s">
        <v>14</v>
      </c>
      <c r="C75" s="9">
        <v>27</v>
      </c>
      <c r="D75" s="9" t="s">
        <v>22</v>
      </c>
      <c r="E75" s="9" t="s">
        <v>11</v>
      </c>
      <c r="F75" s="9">
        <v>3600</v>
      </c>
      <c r="G75" s="11">
        <v>45094</v>
      </c>
      <c r="H75" s="9" t="s">
        <v>20</v>
      </c>
      <c r="I75" s="13">
        <v>45812</v>
      </c>
      <c r="J75" s="12">
        <f t="shared" ca="1" si="2"/>
        <v>3</v>
      </c>
      <c r="K75" s="12" t="str">
        <f t="shared" si="3"/>
        <v>20-29</v>
      </c>
    </row>
    <row r="76" spans="1:11" ht="20.399999999999999" customHeight="1" x14ac:dyDescent="0.3">
      <c r="A76" s="9" t="s">
        <v>97</v>
      </c>
      <c r="B76" s="9" t="s">
        <v>9</v>
      </c>
      <c r="C76" s="9">
        <v>39</v>
      </c>
      <c r="D76" s="9" t="s">
        <v>25</v>
      </c>
      <c r="E76" s="9" t="s">
        <v>26</v>
      </c>
      <c r="F76" s="9">
        <v>5300</v>
      </c>
      <c r="G76" s="11">
        <v>43347</v>
      </c>
      <c r="H76" s="9" t="s">
        <v>12</v>
      </c>
      <c r="I76" s="12"/>
      <c r="J76" s="12">
        <f t="shared" ca="1" si="2"/>
        <v>7</v>
      </c>
      <c r="K76" s="12" t="str">
        <f t="shared" si="3"/>
        <v>30-39</v>
      </c>
    </row>
    <row r="77" spans="1:11" x14ac:dyDescent="0.3">
      <c r="A77" s="9" t="s">
        <v>98</v>
      </c>
      <c r="B77" s="9" t="s">
        <v>14</v>
      </c>
      <c r="C77" s="9">
        <v>26</v>
      </c>
      <c r="D77" s="9" t="s">
        <v>10</v>
      </c>
      <c r="E77" s="9" t="s">
        <v>23</v>
      </c>
      <c r="F77" s="9">
        <v>2780</v>
      </c>
      <c r="G77" s="11">
        <v>45364</v>
      </c>
      <c r="H77" s="9" t="s">
        <v>12</v>
      </c>
      <c r="I77" s="12"/>
      <c r="J77" s="12">
        <f t="shared" ca="1" si="2"/>
        <v>2</v>
      </c>
      <c r="K77" s="12" t="str">
        <f t="shared" si="3"/>
        <v>20-29</v>
      </c>
    </row>
    <row r="78" spans="1:11" x14ac:dyDescent="0.3">
      <c r="A78" s="9" t="s">
        <v>99</v>
      </c>
      <c r="B78" s="9" t="s">
        <v>9</v>
      </c>
      <c r="C78" s="9">
        <v>34</v>
      </c>
      <c r="D78" s="9" t="s">
        <v>15</v>
      </c>
      <c r="E78" s="9" t="s">
        <v>16</v>
      </c>
      <c r="F78" s="9">
        <v>3800</v>
      </c>
      <c r="G78" s="11">
        <v>44143</v>
      </c>
      <c r="H78" s="9" t="s">
        <v>12</v>
      </c>
      <c r="I78" s="12"/>
      <c r="J78" s="12">
        <f t="shared" ca="1" si="2"/>
        <v>5</v>
      </c>
      <c r="K78" s="12" t="str">
        <f t="shared" si="3"/>
        <v>30-39</v>
      </c>
    </row>
    <row r="79" spans="1:11" x14ac:dyDescent="0.3">
      <c r="A79" s="9" t="s">
        <v>100</v>
      </c>
      <c r="B79" s="9" t="s">
        <v>14</v>
      </c>
      <c r="C79" s="9">
        <v>29</v>
      </c>
      <c r="D79" s="9" t="s">
        <v>28</v>
      </c>
      <c r="E79" s="9" t="s">
        <v>16</v>
      </c>
      <c r="F79" s="9">
        <v>4000</v>
      </c>
      <c r="G79" s="11">
        <v>44577</v>
      </c>
      <c r="H79" s="9" t="s">
        <v>12</v>
      </c>
      <c r="I79" s="12"/>
      <c r="J79" s="12">
        <f t="shared" ca="1" si="2"/>
        <v>4</v>
      </c>
      <c r="K79" s="12" t="str">
        <f t="shared" si="3"/>
        <v>20-29</v>
      </c>
    </row>
    <row r="80" spans="1:11" x14ac:dyDescent="0.3">
      <c r="A80" s="9" t="s">
        <v>101</v>
      </c>
      <c r="B80" s="9" t="s">
        <v>9</v>
      </c>
      <c r="C80" s="9">
        <v>41</v>
      </c>
      <c r="D80" s="9" t="s">
        <v>18</v>
      </c>
      <c r="E80" s="9" t="s">
        <v>19</v>
      </c>
      <c r="F80" s="9">
        <v>6250</v>
      </c>
      <c r="G80" s="11">
        <v>42882</v>
      </c>
      <c r="H80" s="9" t="s">
        <v>12</v>
      </c>
      <c r="I80" s="12"/>
      <c r="J80" s="12">
        <f t="shared" ca="1" si="2"/>
        <v>9</v>
      </c>
      <c r="K80" s="12" t="str">
        <f t="shared" si="3"/>
        <v>40+</v>
      </c>
    </row>
    <row r="81" spans="1:11" ht="21" customHeight="1" x14ac:dyDescent="0.3">
      <c r="A81" s="9" t="s">
        <v>102</v>
      </c>
      <c r="B81" s="9" t="s">
        <v>14</v>
      </c>
      <c r="C81" s="9">
        <v>31</v>
      </c>
      <c r="D81" s="9" t="s">
        <v>22</v>
      </c>
      <c r="E81" s="9" t="s">
        <v>26</v>
      </c>
      <c r="F81" s="9">
        <v>5500</v>
      </c>
      <c r="G81" s="11">
        <v>44479</v>
      </c>
      <c r="H81" s="9" t="s">
        <v>12</v>
      </c>
      <c r="I81" s="12"/>
      <c r="J81" s="12">
        <f t="shared" ca="1" si="2"/>
        <v>4</v>
      </c>
      <c r="K81" s="12" t="str">
        <f t="shared" si="3"/>
        <v>30-39</v>
      </c>
    </row>
    <row r="82" spans="1:11" x14ac:dyDescent="0.3">
      <c r="A82" s="9" t="s">
        <v>103</v>
      </c>
      <c r="B82" s="9" t="s">
        <v>9</v>
      </c>
      <c r="C82" s="9">
        <v>24</v>
      </c>
      <c r="D82" s="9" t="s">
        <v>25</v>
      </c>
      <c r="E82" s="9" t="s">
        <v>23</v>
      </c>
      <c r="F82" s="9">
        <v>2800</v>
      </c>
      <c r="G82" s="11">
        <v>45478</v>
      </c>
      <c r="H82" s="9" t="s">
        <v>12</v>
      </c>
      <c r="I82" s="12"/>
      <c r="J82" s="12">
        <f t="shared" ca="1" si="2"/>
        <v>1</v>
      </c>
      <c r="K82" s="12" t="str">
        <f t="shared" si="3"/>
        <v>20-29</v>
      </c>
    </row>
    <row r="83" spans="1:11" ht="15" customHeight="1" x14ac:dyDescent="0.3">
      <c r="A83" s="9" t="s">
        <v>104</v>
      </c>
      <c r="B83" s="9" t="s">
        <v>14</v>
      </c>
      <c r="C83" s="9">
        <v>36</v>
      </c>
      <c r="D83" s="9" t="s">
        <v>15</v>
      </c>
      <c r="E83" s="9" t="s">
        <v>26</v>
      </c>
      <c r="F83" s="9">
        <v>5200</v>
      </c>
      <c r="G83" s="11">
        <v>43484</v>
      </c>
      <c r="H83" s="9" t="s">
        <v>20</v>
      </c>
      <c r="I83" s="12" t="s">
        <v>138</v>
      </c>
      <c r="J83" s="12">
        <f t="shared" ca="1" si="2"/>
        <v>7</v>
      </c>
      <c r="K83" s="12" t="str">
        <f t="shared" si="3"/>
        <v>30-39</v>
      </c>
    </row>
    <row r="84" spans="1:11" x14ac:dyDescent="0.3">
      <c r="A84" s="9" t="s">
        <v>105</v>
      </c>
      <c r="B84" s="9" t="s">
        <v>9</v>
      </c>
      <c r="C84" s="9">
        <v>28</v>
      </c>
      <c r="D84" s="9" t="s">
        <v>10</v>
      </c>
      <c r="E84" s="9" t="s">
        <v>11</v>
      </c>
      <c r="F84" s="9">
        <v>3250</v>
      </c>
      <c r="G84" s="11">
        <v>45030</v>
      </c>
      <c r="H84" s="9" t="s">
        <v>12</v>
      </c>
      <c r="I84" s="12"/>
      <c r="J84" s="12">
        <f t="shared" ca="1" si="2"/>
        <v>3</v>
      </c>
      <c r="K84" s="12" t="str">
        <f t="shared" si="3"/>
        <v>20-29</v>
      </c>
    </row>
    <row r="85" spans="1:11" x14ac:dyDescent="0.3">
      <c r="A85" s="9" t="s">
        <v>106</v>
      </c>
      <c r="B85" s="9" t="s">
        <v>14</v>
      </c>
      <c r="C85" s="9">
        <v>30</v>
      </c>
      <c r="D85" s="9" t="s">
        <v>28</v>
      </c>
      <c r="E85" s="9" t="s">
        <v>11</v>
      </c>
      <c r="F85" s="9">
        <v>3350</v>
      </c>
      <c r="G85" s="11">
        <v>44827</v>
      </c>
      <c r="H85" s="9" t="s">
        <v>12</v>
      </c>
      <c r="I85" s="12"/>
      <c r="J85" s="12">
        <f t="shared" ca="1" si="2"/>
        <v>3</v>
      </c>
      <c r="K85" s="12" t="str">
        <f t="shared" si="3"/>
        <v>30-39</v>
      </c>
    </row>
    <row r="86" spans="1:11" x14ac:dyDescent="0.3">
      <c r="A86" s="9" t="s">
        <v>107</v>
      </c>
      <c r="B86" s="9" t="s">
        <v>9</v>
      </c>
      <c r="C86" s="9">
        <v>43</v>
      </c>
      <c r="D86" s="9" t="s">
        <v>22</v>
      </c>
      <c r="E86" s="9" t="s">
        <v>19</v>
      </c>
      <c r="F86" s="9">
        <v>8300</v>
      </c>
      <c r="G86" s="11">
        <v>42440</v>
      </c>
      <c r="H86" s="9" t="s">
        <v>12</v>
      </c>
      <c r="I86" s="12"/>
      <c r="J86" s="12">
        <f t="shared" ca="1" si="2"/>
        <v>10</v>
      </c>
      <c r="K86" s="12" t="str">
        <f t="shared" si="3"/>
        <v>40+</v>
      </c>
    </row>
    <row r="87" spans="1:11" x14ac:dyDescent="0.3">
      <c r="A87" s="9" t="s">
        <v>108</v>
      </c>
      <c r="B87" s="9" t="s">
        <v>14</v>
      </c>
      <c r="C87" s="9">
        <v>25</v>
      </c>
      <c r="D87" s="9" t="s">
        <v>18</v>
      </c>
      <c r="E87" s="9" t="s">
        <v>11</v>
      </c>
      <c r="F87" s="9">
        <v>3300</v>
      </c>
      <c r="G87" s="11">
        <v>45140</v>
      </c>
      <c r="H87" s="9" t="s">
        <v>12</v>
      </c>
      <c r="I87" s="12"/>
      <c r="J87" s="12">
        <f t="shared" ca="1" si="2"/>
        <v>2</v>
      </c>
      <c r="K87" s="12" t="str">
        <f t="shared" si="3"/>
        <v>20-29</v>
      </c>
    </row>
    <row r="88" spans="1:11" x14ac:dyDescent="0.3">
      <c r="A88" s="9" t="s">
        <v>109</v>
      </c>
      <c r="B88" s="9" t="s">
        <v>9</v>
      </c>
      <c r="C88" s="9">
        <v>33</v>
      </c>
      <c r="D88" s="9" t="s">
        <v>25</v>
      </c>
      <c r="E88" s="9" t="s">
        <v>16</v>
      </c>
      <c r="F88" s="9">
        <v>4100</v>
      </c>
      <c r="G88" s="11">
        <v>44331</v>
      </c>
      <c r="H88" s="9" t="s">
        <v>12</v>
      </c>
      <c r="I88" s="12"/>
      <c r="J88" s="12">
        <f t="shared" ca="1" si="2"/>
        <v>5</v>
      </c>
      <c r="K88" s="12" t="str">
        <f t="shared" si="3"/>
        <v>30-39</v>
      </c>
    </row>
    <row r="89" spans="1:11" x14ac:dyDescent="0.3">
      <c r="A89" s="9" t="s">
        <v>110</v>
      </c>
      <c r="B89" s="9" t="s">
        <v>14</v>
      </c>
      <c r="C89" s="9">
        <v>38</v>
      </c>
      <c r="D89" s="9" t="s">
        <v>10</v>
      </c>
      <c r="E89" s="9" t="s">
        <v>19</v>
      </c>
      <c r="F89" s="9">
        <v>6400</v>
      </c>
      <c r="G89" s="11">
        <v>43038</v>
      </c>
      <c r="H89" s="9" t="s">
        <v>12</v>
      </c>
      <c r="I89" s="12"/>
      <c r="J89" s="12">
        <f t="shared" ca="1" si="2"/>
        <v>8</v>
      </c>
      <c r="K89" s="12" t="str">
        <f t="shared" si="3"/>
        <v>30-39</v>
      </c>
    </row>
    <row r="90" spans="1:11" x14ac:dyDescent="0.3">
      <c r="A90" s="9" t="s">
        <v>111</v>
      </c>
      <c r="B90" s="9" t="s">
        <v>9</v>
      </c>
      <c r="C90" s="9">
        <v>27</v>
      </c>
      <c r="D90" s="9" t="s">
        <v>15</v>
      </c>
      <c r="E90" s="9" t="s">
        <v>11</v>
      </c>
      <c r="F90" s="9">
        <v>3450</v>
      </c>
      <c r="G90" s="11">
        <v>44969</v>
      </c>
      <c r="H90" s="9" t="s">
        <v>12</v>
      </c>
      <c r="I90" s="12"/>
      <c r="J90" s="12">
        <f t="shared" ca="1" si="2"/>
        <v>3</v>
      </c>
      <c r="K90" s="12" t="str">
        <f t="shared" si="3"/>
        <v>20-29</v>
      </c>
    </row>
    <row r="91" spans="1:11" x14ac:dyDescent="0.3">
      <c r="A91" s="9" t="s">
        <v>112</v>
      </c>
      <c r="B91" s="9" t="s">
        <v>14</v>
      </c>
      <c r="C91" s="9">
        <v>26</v>
      </c>
      <c r="D91" s="9" t="s">
        <v>22</v>
      </c>
      <c r="E91" s="9" t="s">
        <v>23</v>
      </c>
      <c r="F91" s="9">
        <v>2900</v>
      </c>
      <c r="G91" s="11">
        <v>45433</v>
      </c>
      <c r="H91" s="9" t="s">
        <v>20</v>
      </c>
      <c r="I91" s="13">
        <v>46083</v>
      </c>
      <c r="J91" s="12">
        <f t="shared" ca="1" si="2"/>
        <v>2</v>
      </c>
      <c r="K91" s="12" t="str">
        <f t="shared" si="3"/>
        <v>20-29</v>
      </c>
    </row>
    <row r="92" spans="1:11" x14ac:dyDescent="0.3">
      <c r="A92" s="9" t="s">
        <v>113</v>
      </c>
      <c r="B92" s="9" t="s">
        <v>9</v>
      </c>
      <c r="C92" s="9">
        <v>35</v>
      </c>
      <c r="D92" s="9" t="s">
        <v>28</v>
      </c>
      <c r="E92" s="9" t="s">
        <v>19</v>
      </c>
      <c r="F92" s="9">
        <v>6800</v>
      </c>
      <c r="G92" s="11">
        <v>44016</v>
      </c>
      <c r="H92" s="9" t="s">
        <v>12</v>
      </c>
      <c r="I92" s="12"/>
      <c r="J92" s="12">
        <f t="shared" ca="1" si="2"/>
        <v>5</v>
      </c>
      <c r="K92" s="12" t="str">
        <f t="shared" si="3"/>
        <v>30-39</v>
      </c>
    </row>
    <row r="93" spans="1:11" ht="19.8" customHeight="1" x14ac:dyDescent="0.3">
      <c r="A93" s="9" t="s">
        <v>114</v>
      </c>
      <c r="B93" s="9" t="s">
        <v>14</v>
      </c>
      <c r="C93" s="9">
        <v>32</v>
      </c>
      <c r="D93" s="9" t="s">
        <v>18</v>
      </c>
      <c r="E93" s="9" t="s">
        <v>26</v>
      </c>
      <c r="F93" s="9">
        <v>5000</v>
      </c>
      <c r="G93" s="11">
        <v>44518</v>
      </c>
      <c r="H93" s="9" t="s">
        <v>12</v>
      </c>
      <c r="I93" s="12"/>
      <c r="J93" s="12">
        <f t="shared" ca="1" si="2"/>
        <v>4</v>
      </c>
      <c r="K93" s="12" t="str">
        <f t="shared" si="3"/>
        <v>30-39</v>
      </c>
    </row>
    <row r="94" spans="1:11" x14ac:dyDescent="0.3">
      <c r="A94" s="9" t="s">
        <v>115</v>
      </c>
      <c r="B94" s="9" t="s">
        <v>9</v>
      </c>
      <c r="C94" s="9">
        <v>29</v>
      </c>
      <c r="D94" s="9" t="s">
        <v>25</v>
      </c>
      <c r="E94" s="9" t="s">
        <v>11</v>
      </c>
      <c r="F94" s="9">
        <v>3220</v>
      </c>
      <c r="G94" s="11">
        <v>44935</v>
      </c>
      <c r="H94" s="9" t="s">
        <v>12</v>
      </c>
      <c r="I94" s="12"/>
      <c r="J94" s="12">
        <f t="shared" ca="1" si="2"/>
        <v>3</v>
      </c>
      <c r="K94" s="12" t="str">
        <f t="shared" si="3"/>
        <v>20-29</v>
      </c>
    </row>
    <row r="95" spans="1:11" x14ac:dyDescent="0.3">
      <c r="A95" s="9" t="s">
        <v>116</v>
      </c>
      <c r="B95" s="9" t="s">
        <v>14</v>
      </c>
      <c r="C95" s="9">
        <v>24</v>
      </c>
      <c r="D95" s="9" t="s">
        <v>10</v>
      </c>
      <c r="E95" s="9" t="s">
        <v>23</v>
      </c>
      <c r="F95" s="9">
        <v>2760</v>
      </c>
      <c r="G95" s="11">
        <v>45518</v>
      </c>
      <c r="H95" s="9" t="s">
        <v>12</v>
      </c>
      <c r="I95" s="12"/>
      <c r="J95" s="12">
        <f t="shared" ca="1" si="2"/>
        <v>1</v>
      </c>
      <c r="K95" s="12" t="str">
        <f t="shared" si="3"/>
        <v>20-29</v>
      </c>
    </row>
    <row r="96" spans="1:11" x14ac:dyDescent="0.3">
      <c r="A96" s="9" t="s">
        <v>117</v>
      </c>
      <c r="B96" s="9" t="s">
        <v>9</v>
      </c>
      <c r="C96" s="9">
        <v>30</v>
      </c>
      <c r="D96" s="9" t="s">
        <v>15</v>
      </c>
      <c r="E96" s="9" t="s">
        <v>16</v>
      </c>
      <c r="F96" s="9">
        <v>3850</v>
      </c>
      <c r="G96" s="11">
        <v>44647</v>
      </c>
      <c r="H96" s="9" t="s">
        <v>12</v>
      </c>
      <c r="I96" s="12"/>
      <c r="J96" s="12">
        <f t="shared" ca="1" si="2"/>
        <v>4</v>
      </c>
      <c r="K96" s="12" t="str">
        <f t="shared" si="3"/>
        <v>30-39</v>
      </c>
    </row>
    <row r="97" spans="1:11" ht="16.2" customHeight="1" x14ac:dyDescent="0.3">
      <c r="A97" s="9" t="s">
        <v>118</v>
      </c>
      <c r="B97" s="9" t="s">
        <v>14</v>
      </c>
      <c r="C97" s="9">
        <v>37</v>
      </c>
      <c r="D97" s="9" t="s">
        <v>22</v>
      </c>
      <c r="E97" s="9" t="s">
        <v>26</v>
      </c>
      <c r="F97" s="9">
        <v>5600</v>
      </c>
      <c r="G97" s="11">
        <v>43567</v>
      </c>
      <c r="H97" s="9" t="s">
        <v>12</v>
      </c>
      <c r="I97" s="12"/>
      <c r="J97" s="12">
        <f t="shared" ca="1" si="2"/>
        <v>7</v>
      </c>
      <c r="K97" s="12" t="str">
        <f t="shared" si="3"/>
        <v>30-39</v>
      </c>
    </row>
    <row r="98" spans="1:11" x14ac:dyDescent="0.3">
      <c r="A98" s="9" t="s">
        <v>119</v>
      </c>
      <c r="B98" s="9" t="s">
        <v>9</v>
      </c>
      <c r="C98" s="9">
        <v>28</v>
      </c>
      <c r="D98" s="9" t="s">
        <v>28</v>
      </c>
      <c r="E98" s="9" t="s">
        <v>11</v>
      </c>
      <c r="F98" s="9">
        <v>3400</v>
      </c>
      <c r="G98" s="11">
        <v>45082</v>
      </c>
      <c r="H98" s="9" t="s">
        <v>12</v>
      </c>
      <c r="I98" s="12"/>
      <c r="J98" s="12">
        <f t="shared" ca="1" si="2"/>
        <v>3</v>
      </c>
      <c r="K98" s="12" t="str">
        <f t="shared" si="3"/>
        <v>20-29</v>
      </c>
    </row>
    <row r="99" spans="1:11" x14ac:dyDescent="0.3">
      <c r="A99" s="9" t="s">
        <v>120</v>
      </c>
      <c r="B99" s="9" t="s">
        <v>14</v>
      </c>
      <c r="C99" s="9">
        <v>40</v>
      </c>
      <c r="D99" s="9" t="s">
        <v>18</v>
      </c>
      <c r="E99" s="9" t="s">
        <v>19</v>
      </c>
      <c r="F99" s="9">
        <v>6350</v>
      </c>
      <c r="G99" s="11">
        <v>42997</v>
      </c>
      <c r="H99" s="9" t="s">
        <v>12</v>
      </c>
      <c r="I99" s="12"/>
      <c r="J99" s="12">
        <f t="shared" ca="1" si="2"/>
        <v>8</v>
      </c>
      <c r="K99" s="12" t="str">
        <f t="shared" si="3"/>
        <v>40+</v>
      </c>
    </row>
    <row r="100" spans="1:11" x14ac:dyDescent="0.3">
      <c r="A100" s="9" t="s">
        <v>121</v>
      </c>
      <c r="B100" s="9" t="s">
        <v>9</v>
      </c>
      <c r="C100" s="9">
        <v>26</v>
      </c>
      <c r="D100" s="9" t="s">
        <v>25</v>
      </c>
      <c r="E100" s="9" t="s">
        <v>16</v>
      </c>
      <c r="F100" s="9">
        <v>3900</v>
      </c>
      <c r="G100" s="11">
        <v>45333</v>
      </c>
      <c r="H100" s="9" t="s">
        <v>20</v>
      </c>
      <c r="I100" s="12" t="s">
        <v>139</v>
      </c>
      <c r="J100" s="12">
        <f t="shared" ca="1" si="2"/>
        <v>2</v>
      </c>
      <c r="K100" s="12" t="str">
        <f t="shared" si="3"/>
        <v>20-29</v>
      </c>
    </row>
    <row r="101" spans="1:11" x14ac:dyDescent="0.3">
      <c r="A101" s="9" t="s">
        <v>122</v>
      </c>
      <c r="B101" s="9" t="s">
        <v>14</v>
      </c>
      <c r="C101" s="9">
        <v>31</v>
      </c>
      <c r="D101" s="9" t="s">
        <v>22</v>
      </c>
      <c r="E101" s="9" t="s">
        <v>16</v>
      </c>
      <c r="F101" s="9">
        <v>4400</v>
      </c>
      <c r="G101" s="11">
        <v>44492</v>
      </c>
      <c r="H101" s="9" t="s">
        <v>12</v>
      </c>
      <c r="I101" s="12"/>
      <c r="J101" s="12">
        <f t="shared" ca="1" si="2"/>
        <v>4</v>
      </c>
      <c r="K101" s="12" t="str">
        <f t="shared" si="3"/>
        <v>30-39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94B48-7715-402E-AD20-1B028DA2EB28}">
  <dimension ref="B1:C6"/>
  <sheetViews>
    <sheetView workbookViewId="0">
      <selection activeCell="G5" sqref="G5"/>
    </sheetView>
  </sheetViews>
  <sheetFormatPr defaultRowHeight="14.4" x14ac:dyDescent="0.3"/>
  <cols>
    <col min="2" max="3" width="10.44140625" customWidth="1"/>
  </cols>
  <sheetData>
    <row r="1" spans="2:3" x14ac:dyDescent="0.3">
      <c r="B1" s="1" t="s">
        <v>126</v>
      </c>
      <c r="C1" s="2" t="s">
        <v>127</v>
      </c>
    </row>
    <row r="2" spans="2:3" ht="28.8" x14ac:dyDescent="0.3">
      <c r="B2" s="3" t="s">
        <v>128</v>
      </c>
      <c r="C2" s="4">
        <f>COUNTA(Employee_Data!A:A)-1</f>
        <v>100</v>
      </c>
    </row>
    <row r="3" spans="2:3" ht="28.8" x14ac:dyDescent="0.3">
      <c r="B3" s="5" t="s">
        <v>129</v>
      </c>
      <c r="C3" s="6">
        <f>COUNTIF(Employee_Data!H:H,"Active")</f>
        <v>87</v>
      </c>
    </row>
    <row r="4" spans="2:3" ht="28.8" x14ac:dyDescent="0.3">
      <c r="B4" s="3" t="s">
        <v>130</v>
      </c>
      <c r="C4" s="4">
        <f>COUNTIF(Employee_Data!H:H,"Resigned")</f>
        <v>13</v>
      </c>
    </row>
    <row r="5" spans="2:3" ht="28.8" x14ac:dyDescent="0.3">
      <c r="B5" s="5" t="s">
        <v>131</v>
      </c>
      <c r="C5" s="6">
        <f>AVERAGE(Employee_Data!F:F)</f>
        <v>4459.6000000000004</v>
      </c>
    </row>
    <row r="6" spans="2:3" ht="28.8" x14ac:dyDescent="0.3">
      <c r="B6" s="7" t="s">
        <v>132</v>
      </c>
      <c r="C6" s="8">
        <f>C4/C2</f>
        <v>0.13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AD6C5-50E3-41A5-A775-492D9A85DB4F}">
  <dimension ref="A3:B10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9.5546875" bestFit="1" customWidth="1"/>
  </cols>
  <sheetData>
    <row r="3" spans="1:2" x14ac:dyDescent="0.3">
      <c r="A3" s="14" t="s">
        <v>140</v>
      </c>
      <c r="B3" t="s">
        <v>142</v>
      </c>
    </row>
    <row r="4" spans="1:2" x14ac:dyDescent="0.3">
      <c r="A4" s="15" t="s">
        <v>15</v>
      </c>
      <c r="B4" s="16">
        <v>16</v>
      </c>
    </row>
    <row r="5" spans="1:2" x14ac:dyDescent="0.3">
      <c r="A5" s="15" t="s">
        <v>10</v>
      </c>
      <c r="B5" s="16">
        <v>15</v>
      </c>
    </row>
    <row r="6" spans="1:2" x14ac:dyDescent="0.3">
      <c r="A6" s="15" t="s">
        <v>22</v>
      </c>
      <c r="B6" s="16">
        <v>19</v>
      </c>
    </row>
    <row r="7" spans="1:2" x14ac:dyDescent="0.3">
      <c r="A7" s="15" t="s">
        <v>28</v>
      </c>
      <c r="B7" s="16">
        <v>16</v>
      </c>
    </row>
    <row r="8" spans="1:2" x14ac:dyDescent="0.3">
      <c r="A8" s="15" t="s">
        <v>18</v>
      </c>
      <c r="B8" s="16">
        <v>17</v>
      </c>
    </row>
    <row r="9" spans="1:2" x14ac:dyDescent="0.3">
      <c r="A9" s="15" t="s">
        <v>25</v>
      </c>
      <c r="B9" s="16">
        <v>17</v>
      </c>
    </row>
    <row r="10" spans="1:2" x14ac:dyDescent="0.3">
      <c r="A10" s="15" t="s">
        <v>141</v>
      </c>
      <c r="B10" s="16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234A-1794-4EB0-AB7F-5FEB9D1A0447}">
  <dimension ref="A3:B6"/>
  <sheetViews>
    <sheetView topLeftCell="C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9.5546875" bestFit="1" customWidth="1"/>
  </cols>
  <sheetData>
    <row r="3" spans="1:2" x14ac:dyDescent="0.3">
      <c r="A3" s="14" t="s">
        <v>140</v>
      </c>
      <c r="B3" t="s">
        <v>142</v>
      </c>
    </row>
    <row r="4" spans="1:2" x14ac:dyDescent="0.3">
      <c r="A4" s="15" t="s">
        <v>14</v>
      </c>
      <c r="B4" s="16">
        <v>50</v>
      </c>
    </row>
    <row r="5" spans="1:2" x14ac:dyDescent="0.3">
      <c r="A5" s="15" t="s">
        <v>9</v>
      </c>
      <c r="B5" s="16">
        <v>50</v>
      </c>
    </row>
    <row r="6" spans="1:2" x14ac:dyDescent="0.3">
      <c r="A6" s="15" t="s">
        <v>141</v>
      </c>
      <c r="B6" s="16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ECCE8-78E8-4ED3-8FC7-7A7295247049}">
  <dimension ref="A3:B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9.5546875" bestFit="1" customWidth="1"/>
  </cols>
  <sheetData>
    <row r="3" spans="1:2" x14ac:dyDescent="0.3">
      <c r="A3" s="14" t="s">
        <v>140</v>
      </c>
      <c r="B3" t="s">
        <v>142</v>
      </c>
    </row>
    <row r="4" spans="1:2" x14ac:dyDescent="0.3">
      <c r="A4" s="15" t="s">
        <v>12</v>
      </c>
      <c r="B4" s="16">
        <v>87</v>
      </c>
    </row>
    <row r="5" spans="1:2" x14ac:dyDescent="0.3">
      <c r="A5" s="15" t="s">
        <v>20</v>
      </c>
      <c r="B5" s="16">
        <v>13</v>
      </c>
    </row>
    <row r="6" spans="1:2" x14ac:dyDescent="0.3">
      <c r="A6" s="15" t="s">
        <v>141</v>
      </c>
      <c r="B6" s="16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D1532-B037-4539-9908-D23463961AA6}">
  <dimension ref="A3:B10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77734375" bestFit="1" customWidth="1"/>
  </cols>
  <sheetData>
    <row r="3" spans="1:2" x14ac:dyDescent="0.3">
      <c r="A3" s="14" t="s">
        <v>140</v>
      </c>
      <c r="B3" t="s">
        <v>143</v>
      </c>
    </row>
    <row r="4" spans="1:2" x14ac:dyDescent="0.3">
      <c r="A4" s="15" t="s">
        <v>15</v>
      </c>
      <c r="B4" s="17">
        <v>4575</v>
      </c>
    </row>
    <row r="5" spans="1:2" x14ac:dyDescent="0.3">
      <c r="A5" s="15" t="s">
        <v>10</v>
      </c>
      <c r="B5" s="17">
        <v>4019.3333333333335</v>
      </c>
    </row>
    <row r="6" spans="1:2" x14ac:dyDescent="0.3">
      <c r="A6" s="15" t="s">
        <v>22</v>
      </c>
      <c r="B6" s="17">
        <v>4905.2631578947367</v>
      </c>
    </row>
    <row r="7" spans="1:2" x14ac:dyDescent="0.3">
      <c r="A7" s="15" t="s">
        <v>28</v>
      </c>
      <c r="B7" s="17">
        <v>4175</v>
      </c>
    </row>
    <row r="8" spans="1:2" x14ac:dyDescent="0.3">
      <c r="A8" s="15" t="s">
        <v>18</v>
      </c>
      <c r="B8" s="17">
        <v>4670.588235294118</v>
      </c>
    </row>
    <row r="9" spans="1:2" x14ac:dyDescent="0.3">
      <c r="A9" s="15" t="s">
        <v>25</v>
      </c>
      <c r="B9" s="17">
        <v>4298.2352941176468</v>
      </c>
    </row>
    <row r="10" spans="1:2" x14ac:dyDescent="0.3">
      <c r="A10" s="15" t="s">
        <v>141</v>
      </c>
      <c r="B10" s="17">
        <v>4459.6000000000004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2CDFE-46BD-4B53-AEE4-FF7CE17983CE}">
  <dimension ref="A3:B27"/>
  <sheetViews>
    <sheetView tabSelected="1" topLeftCell="A3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9.5546875" bestFit="1" customWidth="1"/>
  </cols>
  <sheetData>
    <row r="3" spans="1:2" x14ac:dyDescent="0.3">
      <c r="A3" s="14" t="s">
        <v>140</v>
      </c>
      <c r="B3" t="s">
        <v>142</v>
      </c>
    </row>
    <row r="4" spans="1:2" x14ac:dyDescent="0.3">
      <c r="A4" s="15">
        <v>23</v>
      </c>
      <c r="B4" s="16">
        <v>4</v>
      </c>
    </row>
    <row r="5" spans="1:2" x14ac:dyDescent="0.3">
      <c r="A5" s="15">
        <v>24</v>
      </c>
      <c r="B5" s="16">
        <v>6</v>
      </c>
    </row>
    <row r="6" spans="1:2" x14ac:dyDescent="0.3">
      <c r="A6" s="15">
        <v>25</v>
      </c>
      <c r="B6" s="16">
        <v>6</v>
      </c>
    </row>
    <row r="7" spans="1:2" x14ac:dyDescent="0.3">
      <c r="A7" s="15">
        <v>26</v>
      </c>
      <c r="B7" s="16">
        <v>8</v>
      </c>
    </row>
    <row r="8" spans="1:2" x14ac:dyDescent="0.3">
      <c r="A8" s="15">
        <v>27</v>
      </c>
      <c r="B8" s="16">
        <v>6</v>
      </c>
    </row>
    <row r="9" spans="1:2" x14ac:dyDescent="0.3">
      <c r="A9" s="15">
        <v>28</v>
      </c>
      <c r="B9" s="16">
        <v>7</v>
      </c>
    </row>
    <row r="10" spans="1:2" x14ac:dyDescent="0.3">
      <c r="A10" s="15">
        <v>29</v>
      </c>
      <c r="B10" s="16">
        <v>8</v>
      </c>
    </row>
    <row r="11" spans="1:2" x14ac:dyDescent="0.3">
      <c r="A11" s="15">
        <v>30</v>
      </c>
      <c r="B11" s="16">
        <v>8</v>
      </c>
    </row>
    <row r="12" spans="1:2" x14ac:dyDescent="0.3">
      <c r="A12" s="15">
        <v>31</v>
      </c>
      <c r="B12" s="16">
        <v>6</v>
      </c>
    </row>
    <row r="13" spans="1:2" x14ac:dyDescent="0.3">
      <c r="A13" s="15">
        <v>32</v>
      </c>
      <c r="B13" s="16">
        <v>5</v>
      </c>
    </row>
    <row r="14" spans="1:2" x14ac:dyDescent="0.3">
      <c r="A14" s="15">
        <v>33</v>
      </c>
      <c r="B14" s="16">
        <v>5</v>
      </c>
    </row>
    <row r="15" spans="1:2" x14ac:dyDescent="0.3">
      <c r="A15" s="15">
        <v>34</v>
      </c>
      <c r="B15" s="16">
        <v>4</v>
      </c>
    </row>
    <row r="16" spans="1:2" x14ac:dyDescent="0.3">
      <c r="A16" s="15">
        <v>35</v>
      </c>
      <c r="B16" s="16">
        <v>5</v>
      </c>
    </row>
    <row r="17" spans="1:2" x14ac:dyDescent="0.3">
      <c r="A17" s="15">
        <v>36</v>
      </c>
      <c r="B17" s="16">
        <v>3</v>
      </c>
    </row>
    <row r="18" spans="1:2" x14ac:dyDescent="0.3">
      <c r="A18" s="15">
        <v>37</v>
      </c>
      <c r="B18" s="16">
        <v>3</v>
      </c>
    </row>
    <row r="19" spans="1:2" x14ac:dyDescent="0.3">
      <c r="A19" s="15">
        <v>38</v>
      </c>
      <c r="B19" s="16">
        <v>3</v>
      </c>
    </row>
    <row r="20" spans="1:2" x14ac:dyDescent="0.3">
      <c r="A20" s="15">
        <v>39</v>
      </c>
      <c r="B20" s="16">
        <v>1</v>
      </c>
    </row>
    <row r="21" spans="1:2" x14ac:dyDescent="0.3">
      <c r="A21" s="15">
        <v>40</v>
      </c>
      <c r="B21" s="16">
        <v>3</v>
      </c>
    </row>
    <row r="22" spans="1:2" x14ac:dyDescent="0.3">
      <c r="A22" s="15">
        <v>41</v>
      </c>
      <c r="B22" s="16">
        <v>2</v>
      </c>
    </row>
    <row r="23" spans="1:2" x14ac:dyDescent="0.3">
      <c r="A23" s="15">
        <v>42</v>
      </c>
      <c r="B23" s="16">
        <v>2</v>
      </c>
    </row>
    <row r="24" spans="1:2" x14ac:dyDescent="0.3">
      <c r="A24" s="15">
        <v>43</v>
      </c>
      <c r="B24" s="16">
        <v>2</v>
      </c>
    </row>
    <row r="25" spans="1:2" x14ac:dyDescent="0.3">
      <c r="A25" s="15">
        <v>44</v>
      </c>
      <c r="B25" s="16">
        <v>1</v>
      </c>
    </row>
    <row r="26" spans="1:2" x14ac:dyDescent="0.3">
      <c r="A26" s="15">
        <v>45</v>
      </c>
      <c r="B26" s="16">
        <v>2</v>
      </c>
    </row>
    <row r="27" spans="1:2" x14ac:dyDescent="0.3">
      <c r="A27" s="15" t="s">
        <v>141</v>
      </c>
      <c r="B27" s="1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Employee_Data</vt:lpstr>
      <vt:lpstr>KPI_Calculations</vt:lpstr>
      <vt:lpstr>Employee_Count</vt:lpstr>
      <vt:lpstr>Gender_Distribution</vt:lpstr>
      <vt:lpstr>Employee_Status</vt:lpstr>
      <vt:lpstr>Salary_Average</vt:lpstr>
      <vt:lpstr>Age_Distribution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2026-06-23T10:24:13Z</dcterms:created>
  <dcterms:modified xsi:type="dcterms:W3CDTF">2026-06-23T11:34:40Z</dcterms:modified>
</cp:coreProperties>
</file>